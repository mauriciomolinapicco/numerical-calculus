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equiel\Desktop\UP\Calculo numerico\Codigo\primer_parte\"/>
    </mc:Choice>
  </mc:AlternateContent>
  <xr:revisionPtr revIDLastSave="0" documentId="13_ncr:1_{AE3A4454-F298-4C26-9AA5-22F8AFB1A667}" xr6:coauthVersionLast="47" xr6:coauthVersionMax="47" xr10:uidLastSave="{00000000-0000-0000-0000-000000000000}"/>
  <bookViews>
    <workbookView xWindow="804" yWindow="1284" windowWidth="17280" windowHeight="9960" xr2:uid="{32691F52-6FA0-4199-A9B5-B2C95891D60A}"/>
  </bookViews>
  <sheets>
    <sheet name="jacobi parcial" sheetId="1" r:id="rId1"/>
    <sheet name="newton raph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8" i="2" s="1"/>
  <c r="E8" i="2" s="1"/>
  <c r="D8" i="2"/>
  <c r="G7" i="2"/>
  <c r="E7" i="2"/>
  <c r="E6" i="2"/>
  <c r="C7" i="2"/>
  <c r="B7" i="2"/>
  <c r="D7" i="2" s="1"/>
  <c r="F8" i="2" l="1"/>
  <c r="G8" i="2" s="1"/>
  <c r="B9" i="2"/>
  <c r="F7" i="2"/>
  <c r="C9" i="2" l="1"/>
  <c r="D9" i="2"/>
  <c r="E9" i="2" s="1"/>
  <c r="F9" i="2" s="1"/>
  <c r="G9" i="2" s="1"/>
  <c r="D6" i="2" l="1"/>
  <c r="C6" i="2"/>
  <c r="B6" i="2"/>
  <c r="F2" i="2"/>
  <c r="F1" i="2"/>
  <c r="B9" i="1"/>
  <c r="C9" i="1"/>
  <c r="D9" i="1"/>
  <c r="B10" i="1" s="1"/>
  <c r="E9" i="1"/>
  <c r="F9" i="1"/>
  <c r="G9" i="1" s="1"/>
  <c r="C10" i="1"/>
  <c r="D10" i="1"/>
  <c r="E10" i="1"/>
  <c r="B11" i="1" s="1"/>
  <c r="E8" i="1"/>
  <c r="D8" i="1"/>
  <c r="C8" i="1"/>
  <c r="J9" i="1"/>
  <c r="J8" i="1"/>
  <c r="B8" i="1"/>
  <c r="J7" i="1"/>
  <c r="J6" i="1"/>
  <c r="F10" i="1" l="1"/>
  <c r="G10" i="1" s="1"/>
  <c r="C11" i="1"/>
  <c r="E11" i="1"/>
  <c r="D11" i="1"/>
  <c r="C12" i="1" s="1"/>
  <c r="F8" i="1"/>
  <c r="G8" i="1" s="1"/>
  <c r="B12" i="1" l="1"/>
  <c r="E12" i="1"/>
  <c r="D12" i="1"/>
  <c r="B13" i="1" s="1"/>
  <c r="F11" i="1"/>
  <c r="G11" i="1" s="1"/>
  <c r="C13" i="1" l="1"/>
  <c r="B14" i="1" s="1"/>
  <c r="D13" i="1"/>
  <c r="C14" i="1" s="1"/>
  <c r="E13" i="1"/>
  <c r="F12" i="1"/>
  <c r="G12" i="1" s="1"/>
  <c r="F13" i="1" l="1"/>
  <c r="G13" i="1" s="1"/>
  <c r="E14" i="1"/>
  <c r="D15" i="1" s="1"/>
  <c r="D14" i="1"/>
  <c r="B15" i="1" s="1"/>
  <c r="C15" i="1" l="1"/>
  <c r="B16" i="1" s="1"/>
  <c r="E15" i="1"/>
  <c r="C16" i="1" s="1"/>
  <c r="F14" i="1"/>
  <c r="G14" i="1" s="1"/>
  <c r="F15" i="1" l="1"/>
  <c r="G15" i="1" s="1"/>
  <c r="E16" i="1"/>
  <c r="D17" i="1" s="1"/>
  <c r="D16" i="1"/>
  <c r="B17" i="1" s="1"/>
  <c r="F16" i="1" l="1"/>
  <c r="G16" i="1" s="1"/>
  <c r="E17" i="1"/>
  <c r="C18" i="1" s="1"/>
  <c r="C17" i="1"/>
  <c r="B18" i="1" s="1"/>
  <c r="E18" i="1" l="1"/>
  <c r="D19" i="1" s="1"/>
  <c r="F17" i="1"/>
  <c r="G17" i="1" s="1"/>
  <c r="D18" i="1"/>
  <c r="B19" i="1" s="1"/>
  <c r="F18" i="1" l="1"/>
  <c r="G18" i="1" s="1"/>
  <c r="E19" i="1"/>
  <c r="C20" i="1" s="1"/>
  <c r="C19" i="1"/>
  <c r="B20" i="1" s="1"/>
  <c r="E20" i="1" l="1"/>
  <c r="D21" i="1" s="1"/>
  <c r="D20" i="1"/>
  <c r="B21" i="1" s="1"/>
  <c r="F19" i="1"/>
  <c r="G19" i="1" s="1"/>
  <c r="F20" i="1" l="1"/>
  <c r="G20" i="1" s="1"/>
  <c r="C21" i="1"/>
  <c r="E21" i="1"/>
  <c r="C22" i="1" s="1"/>
  <c r="B22" i="1" l="1"/>
  <c r="F21" i="1"/>
  <c r="G21" i="1" s="1"/>
  <c r="E22" i="1"/>
  <c r="D22" i="1"/>
  <c r="B23" i="1" s="1"/>
  <c r="F22" i="1" l="1"/>
  <c r="G22" i="1" s="1"/>
  <c r="C23" i="1"/>
  <c r="F23" i="1" s="1"/>
  <c r="G23" i="1" s="1"/>
  <c r="D23" i="1"/>
  <c r="E23" i="1"/>
</calcChain>
</file>

<file path=xl/sharedStrings.xml><?xml version="1.0" encoding="utf-8"?>
<sst xmlns="http://schemas.openxmlformats.org/spreadsheetml/2006/main" count="27" uniqueCount="25">
  <si>
    <t>Tolerancia</t>
  </si>
  <si>
    <t>n</t>
  </si>
  <si>
    <t>x1</t>
  </si>
  <si>
    <t>x2</t>
  </si>
  <si>
    <t>x3</t>
  </si>
  <si>
    <t>x4</t>
  </si>
  <si>
    <t xml:space="preserve">error </t>
  </si>
  <si>
    <t>condicion</t>
  </si>
  <si>
    <t>m1=</t>
  </si>
  <si>
    <t>m2=</t>
  </si>
  <si>
    <t>m3=</t>
  </si>
  <si>
    <t>m4=</t>
  </si>
  <si>
    <t>a</t>
  </si>
  <si>
    <t>f(a)=</t>
  </si>
  <si>
    <t>b</t>
  </si>
  <si>
    <t>f(b)=</t>
  </si>
  <si>
    <t>xn-1</t>
  </si>
  <si>
    <t>f(xn-1)</t>
  </si>
  <si>
    <t>f'(xn-1)</t>
  </si>
  <si>
    <t>xn</t>
  </si>
  <si>
    <t>Error</t>
  </si>
  <si>
    <t>Condicion</t>
  </si>
  <si>
    <t>f(x)=x*ln(x)-2</t>
  </si>
  <si>
    <t>f'(x)=ln(x)+1</t>
  </si>
  <si>
    <t>f''(x)=1/x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</si>
</sst>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FD2B-B1AC-41BB-BA64-8CDAC252EBFD}">
  <dimension ref="A1:J23"/>
  <sheetViews>
    <sheetView tabSelected="1" workbookViewId="0">
      <selection activeCell="H31" sqref="H31"/>
    </sheetView>
  </sheetViews>
  <sheetFormatPr baseColWidth="10" defaultRowHeight="14.4" x14ac:dyDescent="0.3"/>
  <sheetData>
    <row r="1" spans="1:10" x14ac:dyDescent="0.3">
      <c r="B1" s="1">
        <v>1</v>
      </c>
      <c r="C1" s="2">
        <v>0.2</v>
      </c>
      <c r="D1" s="2">
        <v>0.1</v>
      </c>
      <c r="E1" s="2">
        <v>0.2</v>
      </c>
      <c r="F1" s="3">
        <v>0.9</v>
      </c>
      <c r="I1" t="s">
        <v>0</v>
      </c>
      <c r="J1">
        <v>1E-3</v>
      </c>
    </row>
    <row r="2" spans="1:10" x14ac:dyDescent="0.3">
      <c r="B2" s="2">
        <v>0.2</v>
      </c>
      <c r="C2" s="1">
        <v>2</v>
      </c>
      <c r="D2" s="2">
        <v>0.3</v>
      </c>
      <c r="E2" s="2">
        <v>-1</v>
      </c>
      <c r="F2" s="3">
        <v>2.8</v>
      </c>
    </row>
    <row r="3" spans="1:10" x14ac:dyDescent="0.3">
      <c r="B3" s="2">
        <v>0.1</v>
      </c>
      <c r="C3" s="2">
        <v>1</v>
      </c>
      <c r="D3" s="1">
        <v>2</v>
      </c>
      <c r="E3" s="2">
        <v>-0.1</v>
      </c>
      <c r="F3" s="3">
        <v>4.7</v>
      </c>
    </row>
    <row r="4" spans="1:10" x14ac:dyDescent="0.3">
      <c r="B4" s="2">
        <v>-0.1</v>
      </c>
      <c r="C4" s="2">
        <v>0.3</v>
      </c>
      <c r="D4" s="2">
        <v>0.3</v>
      </c>
      <c r="E4" s="1">
        <v>1</v>
      </c>
      <c r="F4" s="3">
        <v>-0.35</v>
      </c>
    </row>
    <row r="6" spans="1:10" x14ac:dyDescent="0.3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I6" t="s">
        <v>8</v>
      </c>
      <c r="J6">
        <f>ABS(C1/B1)+ABS(D1/B1)+ABS(E1/B1)</f>
        <v>0.5</v>
      </c>
    </row>
    <row r="7" spans="1:10" x14ac:dyDescent="0.3">
      <c r="A7" s="5">
        <v>1</v>
      </c>
      <c r="B7" s="2">
        <v>0</v>
      </c>
      <c r="C7" s="2">
        <v>0</v>
      </c>
      <c r="D7" s="2">
        <v>1</v>
      </c>
      <c r="E7" s="2">
        <v>0</v>
      </c>
      <c r="F7" s="2"/>
      <c r="G7" s="2"/>
      <c r="I7" t="s">
        <v>9</v>
      </c>
      <c r="J7">
        <f>ABS(B2/C2)+ABS(D2/C2)+ABS(E2/C2)</f>
        <v>0.75</v>
      </c>
    </row>
    <row r="8" spans="1:10" x14ac:dyDescent="0.3">
      <c r="A8" s="5">
        <v>2</v>
      </c>
      <c r="B8" s="2">
        <f>($F$1-$C$1*C7-$D$1*D7-$E$1*E7)/$B$1</f>
        <v>0.8</v>
      </c>
      <c r="C8" s="2">
        <f>($F$2-$B$2*B7-$D$2*D7-$E$2*E7)/$C$2</f>
        <v>1.25</v>
      </c>
      <c r="D8" s="2">
        <f>($F$3-$B$3*B7-$C$3*C7-$E$3*E7)/$D$3</f>
        <v>2.35</v>
      </c>
      <c r="E8" s="2">
        <f>($F$4-$B$4*B7-$C$4*C7-$D$4*D7)/$E$4</f>
        <v>-0.64999999999999991</v>
      </c>
      <c r="F8" s="2">
        <f>MAX(ABS(B8-B7),ABS(C8-C7),ABS(D8-D7),ABS(E8-E7))</f>
        <v>1.35</v>
      </c>
      <c r="G8" s="2" t="str">
        <f>IF(F8&lt;$J$1,"raiz","no raiz")</f>
        <v>no raiz</v>
      </c>
      <c r="I8" t="s">
        <v>10</v>
      </c>
      <c r="J8">
        <f>ABS(B3/D3)+ABS(C3/D3)+ABS(E3/D3)</f>
        <v>0.60000000000000009</v>
      </c>
    </row>
    <row r="9" spans="1:10" x14ac:dyDescent="0.3">
      <c r="A9" s="5">
        <v>3</v>
      </c>
      <c r="B9" s="2">
        <f t="shared" ref="B9:B23" si="0">($F$1-$C$1*C8-$D$1*D8-$E$1*E8)/$B$1</f>
        <v>0.54500000000000004</v>
      </c>
      <c r="C9" s="2">
        <f t="shared" ref="C9:C23" si="1">($F$2-$B$2*B8-$D$2*D8-$E$2*E8)/$C$2</f>
        <v>0.64249999999999985</v>
      </c>
      <c r="D9" s="2">
        <f t="shared" ref="D9:D23" si="2">($F$3-$B$3*B8-$C$3*C8-$E$3*E8)/$D$3</f>
        <v>1.6525000000000001</v>
      </c>
      <c r="E9" s="2">
        <f t="shared" ref="E9:E23" si="3">($F$4-$B$4*B8-$C$4*C8-$D$4*D8)/$E$4</f>
        <v>-1.35</v>
      </c>
      <c r="F9" s="2">
        <f t="shared" ref="F9:F23" si="4">MAX(ABS(B9-B8),ABS(C9-C8),ABS(D9-D8),ABS(E9-E8))</f>
        <v>0.70000000000000018</v>
      </c>
      <c r="G9" s="2" t="str">
        <f t="shared" ref="G9:G23" si="5">IF(F9&lt;$J$1,"raiz","no raiz")</f>
        <v>no raiz</v>
      </c>
      <c r="I9" t="s">
        <v>11</v>
      </c>
      <c r="J9">
        <f>ABS(B4/E4)+ABS(C4/E4)+ABS(D4/E4)</f>
        <v>0.7</v>
      </c>
    </row>
    <row r="10" spans="1:10" x14ac:dyDescent="0.3">
      <c r="A10" s="5">
        <v>4</v>
      </c>
      <c r="B10" s="2">
        <f t="shared" si="0"/>
        <v>0.87625000000000008</v>
      </c>
      <c r="C10" s="2">
        <f t="shared" si="1"/>
        <v>0.42262499999999981</v>
      </c>
      <c r="D10" s="2">
        <f t="shared" si="2"/>
        <v>1.9340000000000002</v>
      </c>
      <c r="E10" s="2">
        <f t="shared" si="3"/>
        <v>-0.98399999999999999</v>
      </c>
      <c r="F10" s="2">
        <f t="shared" si="4"/>
        <v>0.3660000000000001</v>
      </c>
      <c r="G10" s="2" t="str">
        <f t="shared" si="5"/>
        <v>no raiz</v>
      </c>
    </row>
    <row r="11" spans="1:10" x14ac:dyDescent="0.3">
      <c r="A11" s="5">
        <v>5</v>
      </c>
      <c r="B11" s="2">
        <f t="shared" si="0"/>
        <v>0.81887500000000002</v>
      </c>
      <c r="C11" s="2">
        <f t="shared" si="1"/>
        <v>0.53027499999999983</v>
      </c>
      <c r="D11" s="2">
        <f t="shared" si="2"/>
        <v>2.0456750000000001</v>
      </c>
      <c r="E11" s="2">
        <f t="shared" si="3"/>
        <v>-0.9693624999999999</v>
      </c>
      <c r="F11" s="2">
        <f t="shared" si="4"/>
        <v>0.11167499999999997</v>
      </c>
      <c r="G11" s="2" t="str">
        <f t="shared" si="5"/>
        <v>no raiz</v>
      </c>
    </row>
    <row r="12" spans="1:10" x14ac:dyDescent="0.3">
      <c r="A12" s="5">
        <v>6</v>
      </c>
      <c r="B12" s="2">
        <f t="shared" si="0"/>
        <v>0.78325</v>
      </c>
      <c r="C12" s="2">
        <f t="shared" si="1"/>
        <v>0.52657999999999983</v>
      </c>
      <c r="D12" s="2">
        <f t="shared" si="2"/>
        <v>1.9954506250000004</v>
      </c>
      <c r="E12" s="2">
        <f t="shared" si="3"/>
        <v>-1.0408974999999998</v>
      </c>
      <c r="F12" s="2">
        <f t="shared" si="4"/>
        <v>7.1534999999999904E-2</v>
      </c>
      <c r="G12" s="2" t="str">
        <f t="shared" si="5"/>
        <v>no raiz</v>
      </c>
    </row>
    <row r="13" spans="1:10" x14ac:dyDescent="0.3">
      <c r="A13" s="5">
        <v>7</v>
      </c>
      <c r="B13" s="2">
        <f t="shared" si="0"/>
        <v>0.80331843749999998</v>
      </c>
      <c r="C13" s="2">
        <f t="shared" si="1"/>
        <v>0.50190865624999992</v>
      </c>
      <c r="D13" s="2">
        <f t="shared" si="2"/>
        <v>1.9955026249999999</v>
      </c>
      <c r="E13" s="2">
        <f t="shared" si="3"/>
        <v>-1.0282841875000002</v>
      </c>
      <c r="F13" s="2">
        <f t="shared" si="4"/>
        <v>2.4671343749999908E-2</v>
      </c>
      <c r="G13" s="2" t="str">
        <f t="shared" si="5"/>
        <v>no raiz</v>
      </c>
    </row>
    <row r="14" spans="1:10" x14ac:dyDescent="0.3">
      <c r="A14" s="5">
        <v>8</v>
      </c>
      <c r="B14" s="2">
        <f t="shared" si="0"/>
        <v>0.80572484375000009</v>
      </c>
      <c r="C14" s="2">
        <f t="shared" si="1"/>
        <v>0.5062006687499998</v>
      </c>
      <c r="D14" s="2">
        <f t="shared" si="2"/>
        <v>2.0074655406250002</v>
      </c>
      <c r="E14" s="2">
        <f t="shared" si="3"/>
        <v>-1.0188915406249999</v>
      </c>
      <c r="F14" s="2">
        <f t="shared" si="4"/>
        <v>1.1962915625000292E-2</v>
      </c>
      <c r="G14" s="2" t="str">
        <f t="shared" si="5"/>
        <v>no raiz</v>
      </c>
    </row>
    <row r="15" spans="1:10" x14ac:dyDescent="0.3">
      <c r="A15" s="5">
        <v>9</v>
      </c>
      <c r="B15" s="2">
        <f t="shared" si="0"/>
        <v>0.80179162031249995</v>
      </c>
      <c r="C15" s="2">
        <f t="shared" si="1"/>
        <v>0.50886191421875004</v>
      </c>
      <c r="D15" s="2">
        <f t="shared" si="2"/>
        <v>2.00566884640625</v>
      </c>
      <c r="E15" s="2">
        <f t="shared" si="3"/>
        <v>-1.0235273784374999</v>
      </c>
      <c r="F15" s="2">
        <f t="shared" si="4"/>
        <v>4.6358378124999877E-3</v>
      </c>
      <c r="G15" s="2" t="str">
        <f t="shared" si="5"/>
        <v>no raiz</v>
      </c>
    </row>
    <row r="16" spans="1:10" x14ac:dyDescent="0.3">
      <c r="A16" s="5">
        <v>10</v>
      </c>
      <c r="B16" s="2">
        <f t="shared" si="0"/>
        <v>0.80236620820312499</v>
      </c>
      <c r="C16" s="2">
        <f t="shared" si="1"/>
        <v>0.50720682178906251</v>
      </c>
      <c r="D16" s="2">
        <f t="shared" si="2"/>
        <v>2.0043030929531249</v>
      </c>
      <c r="E16" s="2">
        <f t="shared" si="3"/>
        <v>-1.0241800661562501</v>
      </c>
      <c r="F16" s="2">
        <f t="shared" si="4"/>
        <v>1.6550924296875325E-3</v>
      </c>
      <c r="G16" s="2" t="str">
        <f t="shared" si="5"/>
        <v>no raiz</v>
      </c>
    </row>
    <row r="17" spans="1:7" x14ac:dyDescent="0.3">
      <c r="A17" s="5">
        <v>11</v>
      </c>
      <c r="B17" s="1">
        <f t="shared" si="0"/>
        <v>0.80296433957812507</v>
      </c>
      <c r="C17" s="1">
        <f t="shared" si="1"/>
        <v>0.50702788215859362</v>
      </c>
      <c r="D17" s="1">
        <f t="shared" si="2"/>
        <v>2.0050692753875001</v>
      </c>
      <c r="E17" s="1">
        <f t="shared" si="3"/>
        <v>-1.0232163536023435</v>
      </c>
      <c r="F17" s="1">
        <f t="shared" si="4"/>
        <v>9.6371255390659272E-4</v>
      </c>
      <c r="G17" s="1" t="str">
        <f t="shared" si="5"/>
        <v>raiz</v>
      </c>
    </row>
    <row r="18" spans="1:7" x14ac:dyDescent="0.3">
      <c r="A18" s="5">
        <v>12</v>
      </c>
      <c r="B18" s="2">
        <f t="shared" si="0"/>
        <v>0.80273076674999999</v>
      </c>
      <c r="C18" s="2">
        <f t="shared" si="1"/>
        <v>0.50733499793289072</v>
      </c>
      <c r="D18" s="2">
        <f t="shared" si="2"/>
        <v>2.00517702426168</v>
      </c>
      <c r="E18" s="2">
        <f t="shared" si="3"/>
        <v>-1.0233327133060155</v>
      </c>
      <c r="F18" s="2">
        <f t="shared" si="4"/>
        <v>3.0711577429709536E-4</v>
      </c>
      <c r="G18" s="2" t="str">
        <f t="shared" si="5"/>
        <v>raiz</v>
      </c>
    </row>
    <row r="19" spans="1:7" x14ac:dyDescent="0.3">
      <c r="A19" s="5">
        <v>13</v>
      </c>
      <c r="B19" s="2">
        <f t="shared" si="0"/>
        <v>0.80268184064845705</v>
      </c>
      <c r="C19" s="2">
        <f t="shared" si="1"/>
        <v>0.50728401303274029</v>
      </c>
      <c r="D19" s="2">
        <f t="shared" si="2"/>
        <v>2.0050293270307544</v>
      </c>
      <c r="E19" s="2">
        <f t="shared" si="3"/>
        <v>-1.0234805299833711</v>
      </c>
      <c r="F19" s="2">
        <f t="shared" si="4"/>
        <v>1.4781667735563886E-4</v>
      </c>
      <c r="G19" s="2" t="str">
        <f t="shared" si="5"/>
        <v>raiz</v>
      </c>
    </row>
    <row r="20" spans="1:7" x14ac:dyDescent="0.3">
      <c r="A20" s="5">
        <v>14</v>
      </c>
      <c r="B20" s="2">
        <f t="shared" si="0"/>
        <v>0.80273637068705062</v>
      </c>
      <c r="C20" s="2">
        <f t="shared" si="1"/>
        <v>0.50723715188885543</v>
      </c>
      <c r="D20" s="2">
        <f t="shared" si="2"/>
        <v>2.0050498749520385</v>
      </c>
      <c r="E20" s="2">
        <f t="shared" si="3"/>
        <v>-1.0234258179542026</v>
      </c>
      <c r="F20" s="2">
        <f t="shared" si="4"/>
        <v>5.4712029168513254E-5</v>
      </c>
      <c r="G20" s="2" t="str">
        <f t="shared" si="5"/>
        <v>raiz</v>
      </c>
    </row>
    <row r="21" spans="1:7" x14ac:dyDescent="0.3">
      <c r="A21" s="5">
        <v>15</v>
      </c>
      <c r="B21" s="2">
        <f t="shared" si="0"/>
        <v>0.80273274571786557</v>
      </c>
      <c r="C21" s="2">
        <f t="shared" si="1"/>
        <v>0.50725597271138767</v>
      </c>
      <c r="D21" s="2">
        <f t="shared" si="2"/>
        <v>2.0050733146235098</v>
      </c>
      <c r="E21" s="2">
        <f t="shared" si="3"/>
        <v>-1.023412470983563</v>
      </c>
      <c r="F21" s="2">
        <f t="shared" si="4"/>
        <v>2.3439671471336965E-5</v>
      </c>
      <c r="G21" s="2" t="str">
        <f t="shared" si="5"/>
        <v>raiz</v>
      </c>
    </row>
    <row r="22" spans="1:7" x14ac:dyDescent="0.3">
      <c r="A22" s="5">
        <v>16</v>
      </c>
      <c r="B22" s="2">
        <f t="shared" si="0"/>
        <v>0.80272396819208403</v>
      </c>
      <c r="C22" s="2">
        <f t="shared" si="1"/>
        <v>0.50725949274290538</v>
      </c>
      <c r="D22" s="2">
        <f t="shared" si="2"/>
        <v>2.0050647528092349</v>
      </c>
      <c r="E22" s="2">
        <f t="shared" si="3"/>
        <v>-1.0234255116286826</v>
      </c>
      <c r="F22" s="2">
        <f t="shared" si="4"/>
        <v>1.3040645119533067E-5</v>
      </c>
      <c r="G22" s="2" t="str">
        <f t="shared" si="5"/>
        <v>raiz</v>
      </c>
    </row>
    <row r="23" spans="1:7" x14ac:dyDescent="0.3">
      <c r="A23" s="5">
        <v>17</v>
      </c>
      <c r="B23" s="2">
        <f t="shared" si="0"/>
        <v>0.80272672849623206</v>
      </c>
      <c r="C23" s="2">
        <f t="shared" si="1"/>
        <v>0.50725513444506487</v>
      </c>
      <c r="D23" s="2">
        <f t="shared" si="2"/>
        <v>2.0050627796375089</v>
      </c>
      <c r="E23" s="2">
        <f t="shared" si="3"/>
        <v>-1.0234248768464336</v>
      </c>
      <c r="F23" s="2">
        <f t="shared" si="4"/>
        <v>4.3582978405121153E-6</v>
      </c>
      <c r="G23" s="2" t="str">
        <f t="shared" si="5"/>
        <v>raiz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410F-6855-4377-AECB-0B7A9F4FD25E}">
  <dimension ref="A1:I14"/>
  <sheetViews>
    <sheetView workbookViewId="0">
      <selection activeCell="I15" sqref="A1:I15"/>
    </sheetView>
  </sheetViews>
  <sheetFormatPr baseColWidth="10" defaultRowHeight="14.4" x14ac:dyDescent="0.3"/>
  <sheetData>
    <row r="1" spans="1:9" x14ac:dyDescent="0.3">
      <c r="A1" t="s">
        <v>22</v>
      </c>
      <c r="C1" t="s">
        <v>12</v>
      </c>
      <c r="D1">
        <v>2</v>
      </c>
      <c r="E1" t="s">
        <v>13</v>
      </c>
      <c r="F1">
        <f>D1*LN(D1)-2</f>
        <v>-0.61370563888010943</v>
      </c>
      <c r="H1" t="s">
        <v>0</v>
      </c>
      <c r="I1">
        <v>1.0000000000000001E-5</v>
      </c>
    </row>
    <row r="2" spans="1:9" x14ac:dyDescent="0.3">
      <c r="A2" t="s">
        <v>23</v>
      </c>
      <c r="C2" t="s">
        <v>14</v>
      </c>
      <c r="D2">
        <v>3</v>
      </c>
      <c r="E2" t="s">
        <v>15</v>
      </c>
      <c r="F2">
        <f>D2*LN(D2)-2</f>
        <v>1.2958368660043291</v>
      </c>
    </row>
    <row r="3" spans="1:9" x14ac:dyDescent="0.3">
      <c r="A3" t="s">
        <v>24</v>
      </c>
    </row>
    <row r="5" spans="1:9" x14ac:dyDescent="0.3">
      <c r="A5" s="2" t="s">
        <v>1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9" x14ac:dyDescent="0.3">
      <c r="A6" s="2">
        <v>1</v>
      </c>
      <c r="B6" s="2">
        <f>D2</f>
        <v>3</v>
      </c>
      <c r="C6" s="2">
        <f>B6*LN(B6)-2</f>
        <v>1.2958368660043291</v>
      </c>
      <c r="D6" s="2">
        <f>LN(B6)+1</f>
        <v>2.09861228866811</v>
      </c>
      <c r="E6" s="2">
        <f>B6-(C6/D6)</f>
        <v>2.382526790202522</v>
      </c>
      <c r="F6" s="2"/>
      <c r="G6" s="2"/>
    </row>
    <row r="7" spans="1:9" x14ac:dyDescent="0.3">
      <c r="A7" s="2">
        <v>2</v>
      </c>
      <c r="B7" s="2">
        <f>E6</f>
        <v>2.382526790202522</v>
      </c>
      <c r="C7" s="2">
        <f>B7*LN(B7)-2</f>
        <v>6.8418272748384634E-2</v>
      </c>
      <c r="D7" s="2">
        <f>LN(B7)+1</f>
        <v>1.8681616010590851</v>
      </c>
      <c r="E7" s="2">
        <f>B7-(C7/D7)</f>
        <v>2.3459034741523488</v>
      </c>
      <c r="F7" s="2">
        <f>ABS(E7-E6)</f>
        <v>3.6623316050173216E-2</v>
      </c>
      <c r="G7" s="2" t="str">
        <f>IF(F7&lt;$I$1,"raiz","no raiz")</f>
        <v>no raiz</v>
      </c>
    </row>
    <row r="8" spans="1:9" x14ac:dyDescent="0.3">
      <c r="A8" s="2">
        <v>3</v>
      </c>
      <c r="B8" s="2">
        <f t="shared" ref="B8:B9" si="0">E7</f>
        <v>2.3459034741523488</v>
      </c>
      <c r="C8" s="2">
        <f t="shared" ref="C8:C9" si="1">B8*LN(B8)-2</f>
        <v>2.8293345624597066E-4</v>
      </c>
      <c r="D8" s="2">
        <f t="shared" ref="D8:D9" si="2">LN(B8)+1</f>
        <v>1.8526706045222143</v>
      </c>
      <c r="E8" s="2">
        <f t="shared" ref="E8:E9" si="3">B8-(C8/D8)</f>
        <v>2.345750757605999</v>
      </c>
      <c r="F8" s="2">
        <f t="shared" ref="F8:F9" si="4">ABS(E8-E7)</f>
        <v>1.5271654634974041E-4</v>
      </c>
      <c r="G8" s="2" t="str">
        <f t="shared" ref="G8:G9" si="5">IF(F8&lt;$I$1,"raiz","no raiz")</f>
        <v>no raiz</v>
      </c>
    </row>
    <row r="9" spans="1:9" x14ac:dyDescent="0.3">
      <c r="A9" s="2">
        <v>4</v>
      </c>
      <c r="B9" s="2">
        <f t="shared" si="0"/>
        <v>2.345750757605999</v>
      </c>
      <c r="C9" s="2">
        <f t="shared" si="1"/>
        <v>4.9709734106784254E-9</v>
      </c>
      <c r="D9" s="2">
        <f t="shared" si="2"/>
        <v>1.8526055031575952</v>
      </c>
      <c r="E9" s="2">
        <f t="shared" si="3"/>
        <v>2.3457507549227654</v>
      </c>
      <c r="F9" s="2">
        <f t="shared" si="4"/>
        <v>2.6832336352811126E-9</v>
      </c>
      <c r="G9" s="2" t="str">
        <f t="shared" si="5"/>
        <v>raiz</v>
      </c>
    </row>
    <row r="10" spans="1:9" x14ac:dyDescent="0.3">
      <c r="A10" s="2">
        <v>5</v>
      </c>
      <c r="B10" s="2"/>
      <c r="C10" s="2"/>
      <c r="D10" s="2"/>
      <c r="E10" s="2"/>
      <c r="F10" s="2"/>
      <c r="G10" s="2"/>
    </row>
    <row r="11" spans="1:9" x14ac:dyDescent="0.3">
      <c r="A11" s="2">
        <v>6</v>
      </c>
      <c r="B11" s="2"/>
      <c r="C11" s="2"/>
      <c r="D11" s="2"/>
      <c r="E11" s="2"/>
      <c r="F11" s="6"/>
      <c r="G11" s="2"/>
    </row>
    <row r="12" spans="1:9" x14ac:dyDescent="0.3">
      <c r="A12" s="2">
        <v>7</v>
      </c>
      <c r="B12" s="2"/>
      <c r="C12" s="2"/>
      <c r="D12" s="2"/>
      <c r="E12" s="2"/>
      <c r="F12" s="2"/>
      <c r="G12" s="2"/>
    </row>
    <row r="13" spans="1:9" x14ac:dyDescent="0.3">
      <c r="A13" s="2">
        <v>8</v>
      </c>
      <c r="B13" s="2"/>
      <c r="C13" s="2"/>
      <c r="D13" s="2"/>
      <c r="E13" s="2"/>
      <c r="F13" s="2"/>
      <c r="G13" s="2"/>
    </row>
    <row r="14" spans="1:9" x14ac:dyDescent="0.3">
      <c r="A14" s="2">
        <v>9</v>
      </c>
      <c r="B14" s="2"/>
      <c r="C14" s="2"/>
      <c r="D14" s="2"/>
      <c r="E14" s="2"/>
      <c r="F14" s="2"/>
      <c r="G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jacobi parcial</vt:lpstr>
      <vt:lpstr>newton raphson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ezemolina06@gmail.com</dc:creator>
  <cp:lastModifiedBy>ezemolina06@gmail.com</cp:lastModifiedBy>
  <dcterms:created xsi:type="dcterms:W3CDTF">2025-09-16T22:13:08Z</dcterms:created>
  <dcterms:modified xsi:type="dcterms:W3CDTF">2025-12-11T18:50:00Z</dcterms:modified>
</cp:coreProperties>
</file>