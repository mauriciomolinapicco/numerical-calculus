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equiel\Downloads\"/>
    </mc:Choice>
  </mc:AlternateContent>
  <xr:revisionPtr revIDLastSave="0" documentId="13_ncr:1_{82C2CB70-4D0B-43E7-8065-EE81D6F6683C}" xr6:coauthVersionLast="47" xr6:coauthVersionMax="47" xr10:uidLastSave="{00000000-0000-0000-0000-000000000000}"/>
  <bookViews>
    <workbookView xWindow="-38505" yWindow="0" windowWidth="19410" windowHeight="20985" activeTab="1" xr2:uid="{FCA7D751-471E-4DCA-9CBA-9214C0701841}"/>
  </bookViews>
  <sheets>
    <sheet name="trapecios" sheetId="1" r:id="rId1"/>
    <sheet name="PARCIAL trapecios" sheetId="4" r:id="rId2"/>
    <sheet name="simpson" sheetId="2" r:id="rId3"/>
    <sheet name="simpson simu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E3" i="4"/>
  <c r="A7" i="4"/>
  <c r="B4" i="4"/>
  <c r="E5" i="4" s="1"/>
  <c r="F15" i="3"/>
  <c r="F14" i="3"/>
  <c r="F13" i="3"/>
  <c r="F7" i="3"/>
  <c r="B4" i="3"/>
  <c r="I7" i="3" s="1"/>
  <c r="I8" i="2" l="1"/>
  <c r="I7" i="2"/>
  <c r="F8" i="2"/>
  <c r="G1" i="2"/>
  <c r="F7" i="2"/>
  <c r="B7" i="2"/>
  <c r="C7" i="2" s="1"/>
  <c r="B2" i="2"/>
  <c r="B4" i="2" s="1"/>
  <c r="B7" i="1"/>
  <c r="A8" i="1"/>
  <c r="B8" i="1" s="1"/>
  <c r="A7" i="1"/>
  <c r="B4" i="1"/>
  <c r="B8" i="2" l="1"/>
  <c r="A9" i="1"/>
  <c r="C8" i="2" l="1"/>
  <c r="B9" i="2"/>
  <c r="B9" i="1"/>
  <c r="A10" i="1"/>
  <c r="C9" i="2" l="1"/>
  <c r="B10" i="2"/>
  <c r="B10" i="1"/>
  <c r="A11" i="1"/>
  <c r="C10" i="2" l="1"/>
  <c r="B11" i="2"/>
  <c r="B11" i="1"/>
  <c r="A12" i="1"/>
  <c r="B12" i="1" s="1"/>
  <c r="E5" i="1" s="1"/>
  <c r="C11" i="2" l="1"/>
  <c r="B12" i="2"/>
  <c r="B13" i="2" l="1"/>
  <c r="C13" i="2" s="1"/>
  <c r="C12" i="2"/>
</calcChain>
</file>

<file path=xl/sharedStrings.xml><?xml version="1.0" encoding="utf-8"?>
<sst xmlns="http://schemas.openxmlformats.org/spreadsheetml/2006/main" count="69" uniqueCount="35">
  <si>
    <t>a=</t>
  </si>
  <si>
    <t>b=</t>
  </si>
  <si>
    <t>h=</t>
  </si>
  <si>
    <t>n=</t>
  </si>
  <si>
    <t>xi</t>
  </si>
  <si>
    <t>f(xi)</t>
  </si>
  <si>
    <t>T(f,p)=</t>
  </si>
  <si>
    <t>&lt;- valor aproximado de la integral</t>
  </si>
  <si>
    <t>x0</t>
  </si>
  <si>
    <t>x1</t>
  </si>
  <si>
    <t>x2</t>
  </si>
  <si>
    <t>x3</t>
  </si>
  <si>
    <t>x4</t>
  </si>
  <si>
    <t>x5</t>
  </si>
  <si>
    <t>x6</t>
  </si>
  <si>
    <t>x7</t>
  </si>
  <si>
    <t>S(f,P)=</t>
  </si>
  <si>
    <t>Integral verdadera=</t>
  </si>
  <si>
    <t>Ea=</t>
  </si>
  <si>
    <t>Trapecio(s,P)</t>
  </si>
  <si>
    <t>Ea =</t>
  </si>
  <si>
    <t>El error es mas chico con el metodo de SIMPSON que con TRAPECIOS</t>
  </si>
  <si>
    <t xml:space="preserve"> </t>
  </si>
  <si>
    <t>Calculo de error: demostrar que para obtener la integral correcta hasta 5 cifras usando regla de trapecios se requeriria un intervalo h de 0,006 radianes aprox</t>
  </si>
  <si>
    <t>Ea=pi/2/12 * h^2 * |-sen x| &lt;= pi/24*h^2*1 &lt; 0,000005</t>
  </si>
  <si>
    <t>Despejando h &lt; raiz( 0,000005*24/pi) = 0,00618</t>
  </si>
  <si>
    <t>x8</t>
  </si>
  <si>
    <t>I</t>
  </si>
  <si>
    <t>P</t>
  </si>
  <si>
    <t>|f''(x)| &lt;=</t>
  </si>
  <si>
    <t>E</t>
  </si>
  <si>
    <t xml:space="preserve"> -1/12 * (b-a)*h^2*f''(x)</t>
  </si>
  <si>
    <t>Despejando n</t>
  </si>
  <si>
    <t>Resultado</t>
  </si>
  <si>
    <t xml:space="preserve"> -1/12 * (b-a)*((b-a)/n)^2*f''(x)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</si>
</sst>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4B4F-0238-47D1-AE84-59AFF5DDA0C0}">
  <dimension ref="A1:F12"/>
  <sheetViews>
    <sheetView workbookViewId="0">
      <selection activeCell="A12" sqref="A12"/>
    </sheetView>
  </sheetViews>
  <sheetFormatPr baseColWidth="10" defaultRowHeight="14.4" x14ac:dyDescent="0.3"/>
  <sheetData>
    <row r="1" spans="1:6" x14ac:dyDescent="0.3">
      <c r="A1" s="1" t="s">
        <v>0</v>
      </c>
      <c r="B1" s="1">
        <v>0</v>
      </c>
    </row>
    <row r="2" spans="1:6" x14ac:dyDescent="0.3">
      <c r="A2" s="1" t="s">
        <v>1</v>
      </c>
      <c r="B2" s="1">
        <v>1</v>
      </c>
    </row>
    <row r="3" spans="1:6" x14ac:dyDescent="0.3">
      <c r="A3" s="1" t="s">
        <v>3</v>
      </c>
      <c r="B3" s="1">
        <v>5</v>
      </c>
    </row>
    <row r="4" spans="1:6" x14ac:dyDescent="0.3">
      <c r="A4" s="1" t="s">
        <v>2</v>
      </c>
      <c r="B4" s="1">
        <f>(B2-B1)/B3</f>
        <v>0.2</v>
      </c>
    </row>
    <row r="5" spans="1:6" x14ac:dyDescent="0.3">
      <c r="D5" t="s">
        <v>6</v>
      </c>
      <c r="E5">
        <f>B4/2*(B7+B12) +B4*SUM(B8:B11)</f>
        <v>0.74436833976366701</v>
      </c>
      <c r="F5" t="s">
        <v>7</v>
      </c>
    </row>
    <row r="6" spans="1:6" x14ac:dyDescent="0.3">
      <c r="A6" s="1" t="s">
        <v>4</v>
      </c>
      <c r="B6" s="1" t="s">
        <v>5</v>
      </c>
    </row>
    <row r="7" spans="1:6" x14ac:dyDescent="0.3">
      <c r="A7" s="1">
        <f>B1</f>
        <v>0</v>
      </c>
      <c r="B7" s="1">
        <f>EXP(-(A7^2))</f>
        <v>1</v>
      </c>
    </row>
    <row r="8" spans="1:6" x14ac:dyDescent="0.3">
      <c r="A8" s="1">
        <f>A7+$B$4</f>
        <v>0.2</v>
      </c>
      <c r="B8" s="1">
        <f t="shared" ref="B8:B12" si="0">EXP(-(A8^2))</f>
        <v>0.96078943915232318</v>
      </c>
    </row>
    <row r="9" spans="1:6" x14ac:dyDescent="0.3">
      <c r="A9" s="1">
        <f t="shared" ref="A9:A11" si="1">A8+$B$4</f>
        <v>0.4</v>
      </c>
      <c r="B9" s="1">
        <f t="shared" si="0"/>
        <v>0.85214378896621135</v>
      </c>
      <c r="D9" t="s">
        <v>23</v>
      </c>
    </row>
    <row r="10" spans="1:6" x14ac:dyDescent="0.3">
      <c r="A10" s="1">
        <f t="shared" si="1"/>
        <v>0.60000000000000009</v>
      </c>
      <c r="B10" s="1">
        <f t="shared" si="0"/>
        <v>0.69767632607103103</v>
      </c>
    </row>
    <row r="11" spans="1:6" x14ac:dyDescent="0.3">
      <c r="A11" s="1">
        <f t="shared" si="1"/>
        <v>0.8</v>
      </c>
      <c r="B11" s="1">
        <f t="shared" si="0"/>
        <v>0.52729242404304855</v>
      </c>
      <c r="D11" t="s">
        <v>24</v>
      </c>
    </row>
    <row r="12" spans="1:6" x14ac:dyDescent="0.3">
      <c r="A12" s="1">
        <f>A11+$B$4</f>
        <v>1</v>
      </c>
      <c r="B12" s="1">
        <f t="shared" si="0"/>
        <v>0.36787944117144233</v>
      </c>
      <c r="D1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D4D5-2A9F-41C9-A46D-1D1A5EFBC511}">
  <dimension ref="A1:F14"/>
  <sheetViews>
    <sheetView tabSelected="1" workbookViewId="0">
      <selection activeCell="F14" sqref="F14"/>
    </sheetView>
  </sheetViews>
  <sheetFormatPr baseColWidth="10" defaultRowHeight="14.4" x14ac:dyDescent="0.3"/>
  <cols>
    <col min="4" max="4" width="13.109375" customWidth="1"/>
  </cols>
  <sheetData>
    <row r="1" spans="1:6" x14ac:dyDescent="0.3">
      <c r="A1" s="1" t="s">
        <v>0</v>
      </c>
      <c r="B1" s="1">
        <v>0</v>
      </c>
    </row>
    <row r="2" spans="1:6" x14ac:dyDescent="0.3">
      <c r="A2" s="1" t="s">
        <v>1</v>
      </c>
      <c r="B2" s="1">
        <v>6</v>
      </c>
      <c r="D2" t="s">
        <v>29</v>
      </c>
      <c r="E2">
        <v>1.4</v>
      </c>
    </row>
    <row r="3" spans="1:6" x14ac:dyDescent="0.3">
      <c r="A3" s="1" t="s">
        <v>3</v>
      </c>
      <c r="B3" s="1">
        <v>6</v>
      </c>
      <c r="D3" t="s">
        <v>30</v>
      </c>
      <c r="E3">
        <f>10^-5</f>
        <v>1.0000000000000001E-5</v>
      </c>
    </row>
    <row r="4" spans="1:6" x14ac:dyDescent="0.3">
      <c r="A4" s="1" t="s">
        <v>2</v>
      </c>
      <c r="B4" s="1">
        <f>(B2-B1)/B3</f>
        <v>1</v>
      </c>
    </row>
    <row r="5" spans="1:6" x14ac:dyDescent="0.3">
      <c r="D5" s="3" t="s">
        <v>6</v>
      </c>
      <c r="E5" s="3">
        <f>B4/2*(B7+B13) +B4*SUM(B8:B12)</f>
        <v>0.94439999999999991</v>
      </c>
      <c r="F5" t="s">
        <v>7</v>
      </c>
    </row>
    <row r="6" spans="1:6" x14ac:dyDescent="0.3">
      <c r="A6" s="1" t="s">
        <v>4</v>
      </c>
      <c r="B6" s="1" t="s">
        <v>5</v>
      </c>
    </row>
    <row r="7" spans="1:6" x14ac:dyDescent="0.3">
      <c r="A7" s="1">
        <f>B1</f>
        <v>0</v>
      </c>
      <c r="B7" s="1">
        <v>0</v>
      </c>
    </row>
    <row r="8" spans="1:6" x14ac:dyDescent="0.3">
      <c r="A8" s="1">
        <v>1</v>
      </c>
      <c r="B8" s="1">
        <v>0.5</v>
      </c>
      <c r="D8" t="s">
        <v>18</v>
      </c>
      <c r="E8" t="s">
        <v>31</v>
      </c>
    </row>
    <row r="9" spans="1:6" x14ac:dyDescent="0.3">
      <c r="A9" s="1">
        <v>2</v>
      </c>
      <c r="B9" s="1">
        <v>0.22220000000000001</v>
      </c>
      <c r="D9" t="s">
        <v>32</v>
      </c>
      <c r="E9" t="s">
        <v>34</v>
      </c>
    </row>
    <row r="10" spans="1:6" x14ac:dyDescent="0.3">
      <c r="A10" s="1">
        <v>3</v>
      </c>
      <c r="B10" s="1">
        <v>0.1072</v>
      </c>
    </row>
    <row r="11" spans="1:6" x14ac:dyDescent="0.3">
      <c r="A11" s="1">
        <v>4</v>
      </c>
      <c r="B11" s="1">
        <v>6.1499999999999999E-2</v>
      </c>
      <c r="D11" t="s">
        <v>33</v>
      </c>
      <c r="E11">
        <f>SQRT((B2-B1)^3*E2/(12*E3))</f>
        <v>1587.4507866387542</v>
      </c>
    </row>
    <row r="12" spans="1:6" x14ac:dyDescent="0.3">
      <c r="A12" s="1">
        <v>5</v>
      </c>
      <c r="B12" s="1">
        <v>3.9699999999999999E-2</v>
      </c>
    </row>
    <row r="13" spans="1:6" x14ac:dyDescent="0.3">
      <c r="A13" s="1">
        <v>6</v>
      </c>
      <c r="B13" s="2">
        <v>2.76E-2</v>
      </c>
    </row>
    <row r="14" spans="1:6" x14ac:dyDescent="0.3">
      <c r="A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9C46-2233-4069-A443-8C588978DAB2}">
  <dimension ref="A1:I14"/>
  <sheetViews>
    <sheetView workbookViewId="0">
      <selection activeCell="B1" sqref="B1"/>
    </sheetView>
  </sheetViews>
  <sheetFormatPr baseColWidth="10" defaultRowHeight="14.4" x14ac:dyDescent="0.3"/>
  <cols>
    <col min="6" max="6" width="16" customWidth="1"/>
  </cols>
  <sheetData>
    <row r="1" spans="1:9" x14ac:dyDescent="0.3">
      <c r="A1" t="s">
        <v>0</v>
      </c>
      <c r="B1">
        <v>0</v>
      </c>
      <c r="F1" t="s">
        <v>17</v>
      </c>
      <c r="G1">
        <f>-(COS(PI()/2)-COS(0))</f>
        <v>0.99999999999999989</v>
      </c>
    </row>
    <row r="2" spans="1:9" x14ac:dyDescent="0.3">
      <c r="A2" t="s">
        <v>1</v>
      </c>
      <c r="B2">
        <f>PI()/2</f>
        <v>1.5707963267948966</v>
      </c>
    </row>
    <row r="3" spans="1:9" x14ac:dyDescent="0.3">
      <c r="A3" t="s">
        <v>3</v>
      </c>
      <c r="B3">
        <v>6</v>
      </c>
    </row>
    <row r="4" spans="1:9" x14ac:dyDescent="0.3">
      <c r="A4" t="s">
        <v>2</v>
      </c>
      <c r="B4">
        <f>(B2-B1)/B3</f>
        <v>0.26179938779914941</v>
      </c>
    </row>
    <row r="6" spans="1:9" x14ac:dyDescent="0.3">
      <c r="B6" t="s">
        <v>4</v>
      </c>
      <c r="C6" t="s">
        <v>5</v>
      </c>
    </row>
    <row r="7" spans="1:9" x14ac:dyDescent="0.3">
      <c r="A7" t="s">
        <v>8</v>
      </c>
      <c r="B7">
        <f>B1</f>
        <v>0</v>
      </c>
      <c r="C7">
        <f>SIN(B7)</f>
        <v>0</v>
      </c>
      <c r="E7" t="s">
        <v>16</v>
      </c>
      <c r="F7">
        <f>B4/3*(C13+C7+4*(C8+C10+C12)+2*(C9+C11))</f>
        <v>1.0000263121705926</v>
      </c>
      <c r="H7" t="s">
        <v>19</v>
      </c>
      <c r="I7">
        <f>B4/2*(C7+C13)+B4*SUM(C8:C12)</f>
        <v>0.9942818882921578</v>
      </c>
    </row>
    <row r="8" spans="1:9" x14ac:dyDescent="0.3">
      <c r="A8" t="s">
        <v>9</v>
      </c>
      <c r="B8">
        <f>B7+$B$4</f>
        <v>0.26179938779914941</v>
      </c>
      <c r="C8">
        <f t="shared" ref="C8:C13" si="0">SIN(B8)</f>
        <v>0.25881904510252074</v>
      </c>
      <c r="E8" t="s">
        <v>18</v>
      </c>
      <c r="F8">
        <f>ABS(F7-G1)</f>
        <v>2.6312170592679429E-5</v>
      </c>
      <c r="H8" t="s">
        <v>20</v>
      </c>
      <c r="I8">
        <f>ABS(I7-G1)</f>
        <v>5.7181117078420884E-3</v>
      </c>
    </row>
    <row r="9" spans="1:9" x14ac:dyDescent="0.3">
      <c r="A9" t="s">
        <v>10</v>
      </c>
      <c r="B9">
        <f t="shared" ref="B9:B13" si="1">B8+$B$4</f>
        <v>0.52359877559829882</v>
      </c>
      <c r="C9">
        <f t="shared" si="0"/>
        <v>0.49999999999999994</v>
      </c>
    </row>
    <row r="10" spans="1:9" x14ac:dyDescent="0.3">
      <c r="A10" t="s">
        <v>11</v>
      </c>
      <c r="B10">
        <f t="shared" si="1"/>
        <v>0.78539816339744828</v>
      </c>
      <c r="C10">
        <f t="shared" si="0"/>
        <v>0.70710678118654746</v>
      </c>
    </row>
    <row r="11" spans="1:9" x14ac:dyDescent="0.3">
      <c r="A11" t="s">
        <v>12</v>
      </c>
      <c r="B11">
        <f t="shared" si="1"/>
        <v>1.0471975511965976</v>
      </c>
      <c r="C11">
        <f t="shared" si="0"/>
        <v>0.8660254037844386</v>
      </c>
      <c r="F11" t="s">
        <v>21</v>
      </c>
    </row>
    <row r="12" spans="1:9" x14ac:dyDescent="0.3">
      <c r="A12" t="s">
        <v>13</v>
      </c>
      <c r="B12">
        <f>B11+$B$4</f>
        <v>1.308996938995747</v>
      </c>
      <c r="C12">
        <f t="shared" si="0"/>
        <v>0.9659258262890682</v>
      </c>
      <c r="G12">
        <v>5</v>
      </c>
    </row>
    <row r="13" spans="1:9" x14ac:dyDescent="0.3">
      <c r="A13" t="s">
        <v>14</v>
      </c>
      <c r="B13">
        <f t="shared" si="1"/>
        <v>1.5707963267948963</v>
      </c>
      <c r="C13">
        <f t="shared" si="0"/>
        <v>1</v>
      </c>
    </row>
    <row r="14" spans="1:9" x14ac:dyDescent="0.3">
      <c r="G14" t="s">
        <v>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1F319-C9FC-43DE-8703-70919C30A38C}">
  <dimension ref="A1:I15"/>
  <sheetViews>
    <sheetView workbookViewId="0">
      <selection activeCell="F20" sqref="F20"/>
    </sheetView>
  </sheetViews>
  <sheetFormatPr baseColWidth="10" defaultRowHeight="14.4" x14ac:dyDescent="0.3"/>
  <sheetData>
    <row r="1" spans="1:9" x14ac:dyDescent="0.3">
      <c r="A1" t="s">
        <v>0</v>
      </c>
      <c r="B1">
        <v>1</v>
      </c>
      <c r="F1" t="s">
        <v>17</v>
      </c>
    </row>
    <row r="2" spans="1:9" x14ac:dyDescent="0.3">
      <c r="A2" t="s">
        <v>1</v>
      </c>
      <c r="B2">
        <v>3</v>
      </c>
    </row>
    <row r="3" spans="1:9" x14ac:dyDescent="0.3">
      <c r="A3" t="s">
        <v>3</v>
      </c>
      <c r="B3">
        <v>8</v>
      </c>
    </row>
    <row r="4" spans="1:9" x14ac:dyDescent="0.3">
      <c r="A4" t="s">
        <v>2</v>
      </c>
      <c r="B4">
        <f>(B2-B1)/B3</f>
        <v>0.25</v>
      </c>
    </row>
    <row r="6" spans="1:9" x14ac:dyDescent="0.3">
      <c r="A6" s="1"/>
      <c r="B6" s="1" t="s">
        <v>4</v>
      </c>
      <c r="C6" s="1" t="s">
        <v>5</v>
      </c>
    </row>
    <row r="7" spans="1:9" x14ac:dyDescent="0.3">
      <c r="A7" s="1" t="s">
        <v>8</v>
      </c>
      <c r="B7" s="1">
        <v>1</v>
      </c>
      <c r="C7" s="1">
        <v>1</v>
      </c>
      <c r="E7" t="s">
        <v>16</v>
      </c>
      <c r="F7">
        <f>B4/3*((C7+C15)+4*(C8+C10+C12+C14)+2*(C9+C11+C13+C15))</f>
        <v>129.91086666666666</v>
      </c>
      <c r="H7" t="s">
        <v>19</v>
      </c>
      <c r="I7">
        <f>B4/2*(C7+C115)+B4*SUM(C8:C15)</f>
        <v>123.68315</v>
      </c>
    </row>
    <row r="8" spans="1:9" x14ac:dyDescent="0.3">
      <c r="A8" s="1" t="s">
        <v>9</v>
      </c>
      <c r="B8" s="1">
        <v>1.25</v>
      </c>
      <c r="C8" s="1">
        <v>4.0711000000000004</v>
      </c>
    </row>
    <row r="9" spans="1:9" x14ac:dyDescent="0.3">
      <c r="A9" s="1" t="s">
        <v>10</v>
      </c>
      <c r="B9" s="1">
        <v>1.5</v>
      </c>
      <c r="C9" s="1">
        <v>9</v>
      </c>
    </row>
    <row r="10" spans="1:9" x14ac:dyDescent="0.3">
      <c r="A10" s="1" t="s">
        <v>11</v>
      </c>
      <c r="B10" s="1">
        <v>1.75</v>
      </c>
      <c r="C10" s="1">
        <v>16.798999999999999</v>
      </c>
    </row>
    <row r="11" spans="1:9" x14ac:dyDescent="0.3">
      <c r="A11" s="1" t="s">
        <v>12</v>
      </c>
      <c r="B11" s="1">
        <v>2</v>
      </c>
      <c r="C11" s="1">
        <v>29</v>
      </c>
      <c r="F11" t="s">
        <v>21</v>
      </c>
    </row>
    <row r="12" spans="1:9" x14ac:dyDescent="0.3">
      <c r="A12" s="1" t="s">
        <v>13</v>
      </c>
      <c r="B12" s="1">
        <v>2.25</v>
      </c>
      <c r="C12" s="1">
        <v>47.911700000000003</v>
      </c>
    </row>
    <row r="13" spans="1:9" x14ac:dyDescent="0.3">
      <c r="A13" s="1" t="s">
        <v>14</v>
      </c>
      <c r="B13" s="1">
        <v>2.5</v>
      </c>
      <c r="C13" s="1">
        <v>77</v>
      </c>
      <c r="E13" t="s">
        <v>27</v>
      </c>
      <c r="F13">
        <f>C8+C10+C12+C14</f>
        <v>190.23259999999999</v>
      </c>
    </row>
    <row r="14" spans="1:9" x14ac:dyDescent="0.3">
      <c r="A14" s="1" t="s">
        <v>15</v>
      </c>
      <c r="B14" s="1">
        <v>2.75</v>
      </c>
      <c r="C14" s="1">
        <v>121.4508</v>
      </c>
      <c r="E14" t="s">
        <v>28</v>
      </c>
      <c r="F14">
        <f>C9+C11+C13</f>
        <v>115</v>
      </c>
      <c r="G14" t="s">
        <v>22</v>
      </c>
    </row>
    <row r="15" spans="1:9" x14ac:dyDescent="0.3">
      <c r="A15" s="1" t="s">
        <v>26</v>
      </c>
      <c r="B15" s="1">
        <v>3</v>
      </c>
      <c r="C15" s="1">
        <v>189</v>
      </c>
      <c r="E15" t="s">
        <v>16</v>
      </c>
      <c r="F15">
        <f>B4/3*(C7+C15+4*F13+2*F14)</f>
        <v>98.410866666666664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trapecios</vt:lpstr>
      <vt:lpstr>PARCIAL trapecios</vt:lpstr>
      <vt:lpstr>simpson</vt:lpstr>
      <vt:lpstr>simpson simul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ezemolina06@gmail.com</dc:creator>
  <cp:lastModifiedBy>ezemolina06@gmail.com</cp:lastModifiedBy>
  <dcterms:created xsi:type="dcterms:W3CDTF">2025-11-04T12:09:14Z</dcterms:created>
  <dcterms:modified xsi:type="dcterms:W3CDTF">2025-11-04T22:31:54Z</dcterms:modified>
</cp:coreProperties>
</file>