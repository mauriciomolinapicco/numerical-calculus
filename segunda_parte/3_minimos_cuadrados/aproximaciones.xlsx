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equiel\Desktop\UP\Calculo numerico\Codigo\segunda_parte\3_minimos_cuadrados\"/>
    </mc:Choice>
  </mc:AlternateContent>
  <xr:revisionPtr revIDLastSave="0" documentId="13_ncr:1_{1AC7C415-3850-4DA7-9D22-D50704FC8FF8}" xr6:coauthVersionLast="47" xr6:coauthVersionMax="47" xr10:uidLastSave="{00000000-0000-0000-0000-000000000000}"/>
  <bookViews>
    <workbookView xWindow="-19305" yWindow="0" windowWidth="19410" windowHeight="20985" activeTab="2" xr2:uid="{D82205AC-9EBD-4403-8F28-81F7B8ABF9CB}"/>
  </bookViews>
  <sheets>
    <sheet name="lineal" sheetId="1" r:id="rId1"/>
    <sheet name="potencial" sheetId="2" r:id="rId2"/>
    <sheet name="exponencial" sheetId="3" r:id="rId3"/>
    <sheet name="simulacro" sheetId="4" r:id="rId4"/>
    <sheet name="simu_potencial" sheetId="5" r:id="rId5"/>
    <sheet name="simu_exp" sheetId="6" r:id="rId6"/>
    <sheet name="BACKU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H2" i="2"/>
  <c r="E16" i="7"/>
  <c r="D16" i="7"/>
  <c r="C16" i="7"/>
  <c r="H14" i="7"/>
  <c r="B14" i="6"/>
  <c r="B13" i="6"/>
  <c r="D10" i="6"/>
  <c r="E10" i="6"/>
  <c r="F10" i="6"/>
  <c r="D7" i="6"/>
  <c r="E7" i="6"/>
  <c r="F7" i="6"/>
  <c r="D8" i="6"/>
  <c r="E8" i="6" s="1"/>
  <c r="F8" i="6"/>
  <c r="D9" i="6"/>
  <c r="E9" i="6"/>
  <c r="F9" i="6"/>
  <c r="C11" i="6"/>
  <c r="B11" i="6"/>
  <c r="F6" i="6"/>
  <c r="D6" i="6"/>
  <c r="E6" i="6" s="1"/>
  <c r="F5" i="6"/>
  <c r="D5" i="6"/>
  <c r="E5" i="6" s="1"/>
  <c r="F4" i="6"/>
  <c r="D4" i="6"/>
  <c r="E4" i="6" s="1"/>
  <c r="F3" i="6"/>
  <c r="D3" i="6"/>
  <c r="F2" i="6"/>
  <c r="D2" i="6"/>
  <c r="E2" i="6" s="1"/>
  <c r="I9" i="5"/>
  <c r="B15" i="5"/>
  <c r="B14" i="5"/>
  <c r="D8" i="5"/>
  <c r="E8" i="5"/>
  <c r="E11" i="5" s="1"/>
  <c r="F8" i="5"/>
  <c r="G8" i="5"/>
  <c r="G11" i="5" s="1"/>
  <c r="D9" i="5"/>
  <c r="E9" i="5"/>
  <c r="F9" i="5" s="1"/>
  <c r="G9" i="5"/>
  <c r="D10" i="5"/>
  <c r="E10" i="5"/>
  <c r="F10" i="5" s="1"/>
  <c r="G10" i="5"/>
  <c r="C11" i="5"/>
  <c r="D11" i="5"/>
  <c r="B11" i="5"/>
  <c r="E7" i="5"/>
  <c r="D7" i="5"/>
  <c r="F7" i="5" s="1"/>
  <c r="E6" i="5"/>
  <c r="D6" i="5"/>
  <c r="F6" i="5" s="1"/>
  <c r="E5" i="5"/>
  <c r="D5" i="5"/>
  <c r="G5" i="5" s="1"/>
  <c r="E4" i="5"/>
  <c r="D4" i="5"/>
  <c r="F4" i="5" s="1"/>
  <c r="E3" i="5"/>
  <c r="D3" i="5"/>
  <c r="G3" i="5" s="1"/>
  <c r="E2" i="5"/>
  <c r="D2" i="5"/>
  <c r="G2" i="5" s="1"/>
  <c r="D2" i="4"/>
  <c r="D3" i="4"/>
  <c r="D4" i="4"/>
  <c r="D5" i="4"/>
  <c r="D6" i="4"/>
  <c r="D7" i="4"/>
  <c r="D8" i="4"/>
  <c r="D9" i="4"/>
  <c r="D10" i="4"/>
  <c r="C11" i="4"/>
  <c r="B11" i="4"/>
  <c r="E10" i="4"/>
  <c r="E9" i="4"/>
  <c r="E8" i="4"/>
  <c r="E7" i="4"/>
  <c r="E6" i="4"/>
  <c r="E5" i="4"/>
  <c r="E4" i="4"/>
  <c r="E3" i="4"/>
  <c r="E2" i="4"/>
  <c r="C11" i="3"/>
  <c r="H7" i="3"/>
  <c r="G7" i="3"/>
  <c r="H3" i="3"/>
  <c r="H4" i="3"/>
  <c r="H5" i="3"/>
  <c r="H6" i="3"/>
  <c r="H2" i="3"/>
  <c r="G6" i="3"/>
  <c r="G3" i="3"/>
  <c r="G4" i="3"/>
  <c r="G5" i="3"/>
  <c r="G2" i="3"/>
  <c r="B10" i="3"/>
  <c r="B9" i="3"/>
  <c r="D7" i="3"/>
  <c r="E7" i="3"/>
  <c r="F7" i="3"/>
  <c r="F3" i="3"/>
  <c r="F4" i="3"/>
  <c r="F5" i="3"/>
  <c r="F6" i="3"/>
  <c r="F2" i="3"/>
  <c r="E3" i="3"/>
  <c r="E4" i="3"/>
  <c r="E5" i="3"/>
  <c r="E6" i="3"/>
  <c r="E2" i="3"/>
  <c r="D3" i="3"/>
  <c r="D4" i="3"/>
  <c r="D5" i="3"/>
  <c r="D6" i="3"/>
  <c r="D2" i="3"/>
  <c r="C7" i="3"/>
  <c r="B7" i="3"/>
  <c r="I8" i="2"/>
  <c r="I3" i="2"/>
  <c r="I4" i="2"/>
  <c r="I5" i="2"/>
  <c r="I6" i="2"/>
  <c r="I7" i="2"/>
  <c r="I2" i="2"/>
  <c r="H3" i="2"/>
  <c r="H4" i="2"/>
  <c r="H5" i="2"/>
  <c r="H6" i="2"/>
  <c r="H7" i="2"/>
  <c r="B11" i="2"/>
  <c r="B10" i="2"/>
  <c r="E8" i="2"/>
  <c r="F8" i="2"/>
  <c r="G8" i="2"/>
  <c r="D8" i="2"/>
  <c r="G3" i="2"/>
  <c r="G4" i="2"/>
  <c r="G5" i="2"/>
  <c r="G6" i="2"/>
  <c r="G7" i="2"/>
  <c r="G2" i="2"/>
  <c r="D7" i="2"/>
  <c r="E7" i="2"/>
  <c r="F7" i="2"/>
  <c r="D3" i="2"/>
  <c r="E3" i="2"/>
  <c r="F3" i="2"/>
  <c r="D4" i="2"/>
  <c r="E4" i="2"/>
  <c r="F4" i="2"/>
  <c r="D5" i="2"/>
  <c r="E5" i="2"/>
  <c r="F5" i="2"/>
  <c r="D6" i="2"/>
  <c r="E6" i="2"/>
  <c r="F6" i="2"/>
  <c r="F2" i="2"/>
  <c r="E2" i="2"/>
  <c r="D2" i="2"/>
  <c r="C12" i="1"/>
  <c r="E12" i="1"/>
  <c r="B1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F11" i="6" l="1"/>
  <c r="D11" i="6"/>
  <c r="E3" i="6"/>
  <c r="E11" i="6" s="1"/>
  <c r="F11" i="5"/>
  <c r="G6" i="5"/>
  <c r="G4" i="5"/>
  <c r="G7" i="5"/>
  <c r="F2" i="5"/>
  <c r="F5" i="5"/>
  <c r="F3" i="5"/>
  <c r="D11" i="4"/>
  <c r="E11" i="4"/>
  <c r="D12" i="1"/>
  <c r="B15" i="1" s="1"/>
  <c r="C15" i="6" l="1"/>
  <c r="G5" i="6"/>
  <c r="H5" i="6" s="1"/>
  <c r="G2" i="6"/>
  <c r="G4" i="6"/>
  <c r="H4" i="6" s="1"/>
  <c r="G3" i="6"/>
  <c r="H3" i="6" s="1"/>
  <c r="G6" i="6"/>
  <c r="H6" i="6" s="1"/>
  <c r="B13" i="4"/>
  <c r="B14" i="4" s="1"/>
  <c r="G2" i="4" s="1"/>
  <c r="G3" i="1"/>
  <c r="H3" i="1" s="1"/>
  <c r="G7" i="1"/>
  <c r="H7" i="1" s="1"/>
  <c r="G8" i="1"/>
  <c r="H8" i="1" s="1"/>
  <c r="G9" i="1"/>
  <c r="H9" i="1" s="1"/>
  <c r="G10" i="1"/>
  <c r="H10" i="1" s="1"/>
  <c r="G11" i="1"/>
  <c r="H11" i="1" s="1"/>
  <c r="G2" i="1"/>
  <c r="H2" i="1" s="1"/>
  <c r="G4" i="1"/>
  <c r="H4" i="1" s="1"/>
  <c r="G5" i="1"/>
  <c r="H5" i="1" s="1"/>
  <c r="G6" i="1"/>
  <c r="H6" i="1" s="1"/>
  <c r="H12" i="1" l="1"/>
  <c r="G9" i="6"/>
  <c r="H9" i="6" s="1"/>
  <c r="G7" i="6"/>
  <c r="H7" i="6" s="1"/>
  <c r="G8" i="6"/>
  <c r="H8" i="6" s="1"/>
  <c r="G10" i="6"/>
  <c r="H10" i="6" s="1"/>
  <c r="G11" i="6"/>
  <c r="H2" i="6"/>
  <c r="H11" i="6" s="1"/>
  <c r="H10" i="5"/>
  <c r="I10" i="5" s="1"/>
  <c r="H8" i="5"/>
  <c r="I8" i="5" s="1"/>
  <c r="H9" i="5"/>
  <c r="H3" i="5"/>
  <c r="I3" i="5" s="1"/>
  <c r="H5" i="5"/>
  <c r="I5" i="5" s="1"/>
  <c r="H6" i="5"/>
  <c r="I6" i="5" s="1"/>
  <c r="H2" i="5"/>
  <c r="H7" i="5"/>
  <c r="I7" i="5" s="1"/>
  <c r="H4" i="5"/>
  <c r="I4" i="5" s="1"/>
  <c r="G9" i="4"/>
  <c r="H9" i="4" s="1"/>
  <c r="H2" i="4"/>
  <c r="G10" i="4"/>
  <c r="H10" i="4" s="1"/>
  <c r="G3" i="4"/>
  <c r="H3" i="4" s="1"/>
  <c r="G4" i="4"/>
  <c r="H4" i="4" s="1"/>
  <c r="G8" i="4"/>
  <c r="H8" i="4" s="1"/>
  <c r="G6" i="4"/>
  <c r="H6" i="4" s="1"/>
  <c r="G7" i="4"/>
  <c r="H7" i="4" s="1"/>
  <c r="G5" i="4"/>
  <c r="H5" i="4" s="1"/>
  <c r="I2" i="5" l="1"/>
  <c r="I11" i="5" s="1"/>
  <c r="H11" i="5"/>
  <c r="H11" i="4"/>
</calcChain>
</file>

<file path=xl/sharedStrings.xml><?xml version="1.0" encoding="utf-8"?>
<sst xmlns="http://schemas.openxmlformats.org/spreadsheetml/2006/main" count="92" uniqueCount="36">
  <si>
    <t>xi</t>
  </si>
  <si>
    <t>yi</t>
  </si>
  <si>
    <t>i</t>
  </si>
  <si>
    <t>Sumas</t>
  </si>
  <si>
    <t>xi * yi</t>
  </si>
  <si>
    <t>xi^2</t>
  </si>
  <si>
    <t>b=</t>
  </si>
  <si>
    <t>a=</t>
  </si>
  <si>
    <t>P(x)</t>
  </si>
  <si>
    <t xml:space="preserve">Cuando ya </t>
  </si>
  <si>
    <t>tenemos</t>
  </si>
  <si>
    <t>a y b hacemo</t>
  </si>
  <si>
    <t>la formula</t>
  </si>
  <si>
    <t>Ec=</t>
  </si>
  <si>
    <t>Error cuadratico</t>
  </si>
  <si>
    <t>ln xi</t>
  </si>
  <si>
    <t>ln yi</t>
  </si>
  <si>
    <t>ln xi* ln yi</t>
  </si>
  <si>
    <t>(ln xi)^2</t>
  </si>
  <si>
    <t>P(xi) funcion!</t>
  </si>
  <si>
    <t>EC</t>
  </si>
  <si>
    <t>x</t>
  </si>
  <si>
    <t>y</t>
  </si>
  <si>
    <t>xi * ln yi</t>
  </si>
  <si>
    <t>p(xi)</t>
  </si>
  <si>
    <t>x=</t>
  </si>
  <si>
    <t>Nota: en L2n el xn se saltea en el numerador y se pone 2 veces en el denominador</t>
  </si>
  <si>
    <t>L21 = (x-x0 * x-x2) / (x1-x0 * x1 - x2)</t>
  </si>
  <si>
    <t>Como x es 2,6 elijo 2,25 - 2,5 - 2,75</t>
  </si>
  <si>
    <t>p2(0,5)=</t>
  </si>
  <si>
    <t>L20</t>
  </si>
  <si>
    <t>L21</t>
  </si>
  <si>
    <t>L22</t>
  </si>
  <si>
    <t>y0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</si>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</sst>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1" fillId="0" borderId="0" xfId="0" applyFont="1"/>
    <xf numFmtId="0" fontId="1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lineal!$B$2:$B$11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lineal!$C$2:$C$11</c:f>
              <c:numCache>
                <c:formatCode>General</c:formatCode>
                <c:ptCount val="10"/>
                <c:pt idx="0">
                  <c:v>1.3</c:v>
                </c:pt>
                <c:pt idx="1">
                  <c:v>3.5</c:v>
                </c:pt>
                <c:pt idx="2">
                  <c:v>4.2</c:v>
                </c:pt>
                <c:pt idx="3">
                  <c:v>5</c:v>
                </c:pt>
                <c:pt idx="4">
                  <c:v>7</c:v>
                </c:pt>
                <c:pt idx="5">
                  <c:v>8.8000000000000007</c:v>
                </c:pt>
                <c:pt idx="6">
                  <c:v>10.1</c:v>
                </c:pt>
                <c:pt idx="7">
                  <c:v>12.5</c:v>
                </c:pt>
                <c:pt idx="8">
                  <c:v>13</c:v>
                </c:pt>
                <c:pt idx="9">
                  <c:v>15.6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B-4145-BC2C-9A1027268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81823"/>
        <c:axId val="1235682303"/>
      </c:scatterChart>
      <c:valAx>
        <c:axId val="123568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5682303"/>
        <c:crosses val="autoZero"/>
        <c:crossBetween val="midCat"/>
      </c:valAx>
      <c:valAx>
        <c:axId val="123568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568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potencial!$C$1</c:f>
              <c:strCache>
                <c:ptCount val="1"/>
                <c:pt idx="0">
                  <c:v>yi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7829994023024351"/>
                  <c:y val="-0.145233399079552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potencial!$B$2:$B$7</c:f>
              <c:numCache>
                <c:formatCode>General</c:formatCode>
                <c:ptCount val="6"/>
                <c:pt idx="0">
                  <c:v>1</c:v>
                </c:pt>
                <c:pt idx="1">
                  <c:v>1.1000000000000001</c:v>
                </c:pt>
                <c:pt idx="2">
                  <c:v>1.3</c:v>
                </c:pt>
                <c:pt idx="3">
                  <c:v>1.5</c:v>
                </c:pt>
                <c:pt idx="4">
                  <c:v>1.9</c:v>
                </c:pt>
                <c:pt idx="5">
                  <c:v>2.1</c:v>
                </c:pt>
              </c:numCache>
            </c:numRef>
          </c:xVal>
          <c:yVal>
            <c:numRef>
              <c:f>potencial!$C$2:$C$7</c:f>
              <c:numCache>
                <c:formatCode>General</c:formatCode>
                <c:ptCount val="6"/>
                <c:pt idx="0">
                  <c:v>1.84</c:v>
                </c:pt>
                <c:pt idx="1">
                  <c:v>1.96</c:v>
                </c:pt>
                <c:pt idx="2">
                  <c:v>2.21</c:v>
                </c:pt>
                <c:pt idx="3">
                  <c:v>2.4500000000000002</c:v>
                </c:pt>
                <c:pt idx="4">
                  <c:v>2.94</c:v>
                </c:pt>
                <c:pt idx="5">
                  <c:v>3.18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72-4EDE-ADAA-EE2A854B2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818175"/>
        <c:axId val="530650607"/>
      </c:scatterChart>
      <c:valAx>
        <c:axId val="47981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30650607"/>
        <c:crosses val="autoZero"/>
        <c:crossBetween val="midCat"/>
      </c:valAx>
      <c:valAx>
        <c:axId val="5306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981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0663606888711104"/>
          <c:y val="0.23327044025157231"/>
          <c:w val="0.85446018779738098"/>
          <c:h val="0.62133164958153819"/>
        </c:manualLayout>
      </c:layout>
      <c:scatterChart>
        <c:scatterStyle val="lineMarker"/>
        <c:varyColors val="0"/>
        <c:ser>
          <c:idx val="0"/>
          <c:order val="0"/>
          <c:tx>
            <c:strRef>
              <c:f>exponencial!$C$1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1762045848563408"/>
                  <c:y val="-2.27601558152476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exponencial!$B$2:$B$6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exponencial!$C$2:$C$6</c:f>
              <c:numCache>
                <c:formatCode>General</c:formatCode>
                <c:ptCount val="5"/>
                <c:pt idx="0">
                  <c:v>5.0999999999999996</c:v>
                </c:pt>
                <c:pt idx="1">
                  <c:v>5.79</c:v>
                </c:pt>
                <c:pt idx="2">
                  <c:v>6.53</c:v>
                </c:pt>
                <c:pt idx="3">
                  <c:v>7.45</c:v>
                </c:pt>
                <c:pt idx="4">
                  <c:v>8.4600000000000009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C5-48D2-9F82-01F85EBA8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070207"/>
        <c:axId val="545068287"/>
      </c:scatterChart>
      <c:valAx>
        <c:axId val="54507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45068287"/>
        <c:crosses val="autoZero"/>
        <c:crossBetween val="midCat"/>
      </c:valAx>
      <c:valAx>
        <c:axId val="54506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4507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simulacro!$C$1</c:f>
              <c:strCache>
                <c:ptCount val="1"/>
                <c:pt idx="0">
                  <c:v>yi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simulacro!$B$2:$B$10</c:f>
              <c:numCache>
                <c:formatCode>General</c:formatCode>
                <c:ptCount val="9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  <c:pt idx="5">
                  <c:v>2.25</c:v>
                </c:pt>
                <c:pt idx="6">
                  <c:v>2.5</c:v>
                </c:pt>
                <c:pt idx="7">
                  <c:v>2.75</c:v>
                </c:pt>
                <c:pt idx="8">
                  <c:v>3</c:v>
                </c:pt>
              </c:numCache>
            </c:numRef>
          </c:xVal>
          <c:yVal>
            <c:numRef>
              <c:f>simulacro!$C$2:$C$10</c:f>
              <c:numCache>
                <c:formatCode>General</c:formatCode>
                <c:ptCount val="9"/>
                <c:pt idx="0">
                  <c:v>1</c:v>
                </c:pt>
                <c:pt idx="1">
                  <c:v>4.0711000000000004</c:v>
                </c:pt>
                <c:pt idx="2">
                  <c:v>9</c:v>
                </c:pt>
                <c:pt idx="3">
                  <c:v>16.798999999999999</c:v>
                </c:pt>
                <c:pt idx="4">
                  <c:v>29</c:v>
                </c:pt>
                <c:pt idx="5">
                  <c:v>47.911700000000003</c:v>
                </c:pt>
                <c:pt idx="6">
                  <c:v>77</c:v>
                </c:pt>
                <c:pt idx="7">
                  <c:v>121.4508</c:v>
                </c:pt>
                <c:pt idx="8">
                  <c:v>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3-4353-A027-08AE325A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38495"/>
        <c:axId val="38935135"/>
      </c:scatterChart>
      <c:valAx>
        <c:axId val="3893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8935135"/>
        <c:crosses val="autoZero"/>
        <c:crossBetween val="midCat"/>
      </c:valAx>
      <c:valAx>
        <c:axId val="3893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893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22</xdr:row>
      <xdr:rowOff>171450</xdr:rowOff>
    </xdr:from>
    <xdr:to>
      <xdr:col>13</xdr:col>
      <xdr:colOff>285750</xdr:colOff>
      <xdr:row>37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535EDF-C220-0CAC-28AE-AB6072023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11</xdr:row>
      <xdr:rowOff>34290</xdr:rowOff>
    </xdr:from>
    <xdr:to>
      <xdr:col>9</xdr:col>
      <xdr:colOff>281940</xdr:colOff>
      <xdr:row>21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533A5F-3E88-2490-B9A6-2C7A3A171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11</xdr:row>
      <xdr:rowOff>0</xdr:rowOff>
    </xdr:from>
    <xdr:to>
      <xdr:col>7</xdr:col>
      <xdr:colOff>800100</xdr:colOff>
      <xdr:row>22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70B517-458D-61E8-A9A7-889F895F8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617220</xdr:colOff>
      <xdr:row>0</xdr:row>
      <xdr:rowOff>49530</xdr:rowOff>
    </xdr:from>
    <xdr:to>
      <xdr:col>13</xdr:col>
      <xdr:colOff>205740</xdr:colOff>
      <xdr:row>14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5E45C5-F303-B7B7-0779-44B783E28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1ACE-0EFA-4BD5-B2ED-3D2CBA601CB8}">
  <dimension ref="A1:H15"/>
  <sheetViews>
    <sheetView workbookViewId="0">
      <selection activeCell="E12" sqref="E12"/>
    </sheetView>
  </sheetViews>
  <sheetFormatPr baseColWidth="10" defaultRowHeight="14.4" x14ac:dyDescent="0.3"/>
  <sheetData>
    <row r="1" spans="1:8" x14ac:dyDescent="0.3">
      <c r="A1" t="s">
        <v>2</v>
      </c>
      <c r="B1" s="1" t="s">
        <v>0</v>
      </c>
      <c r="C1" s="1" t="s">
        <v>1</v>
      </c>
      <c r="D1" s="1" t="s">
        <v>4</v>
      </c>
      <c r="E1" s="1" t="s">
        <v>5</v>
      </c>
      <c r="F1" s="2" t="s">
        <v>9</v>
      </c>
      <c r="G1" s="2" t="s">
        <v>8</v>
      </c>
      <c r="H1" s="2" t="s">
        <v>14</v>
      </c>
    </row>
    <row r="2" spans="1:8" x14ac:dyDescent="0.3">
      <c r="A2">
        <v>1</v>
      </c>
      <c r="B2" s="1">
        <v>1</v>
      </c>
      <c r="C2" s="1">
        <v>1.3</v>
      </c>
      <c r="D2" s="1">
        <f>B2*C2</f>
        <v>1.3</v>
      </c>
      <c r="E2" s="1">
        <f>B2^2</f>
        <v>1</v>
      </c>
      <c r="F2" t="s">
        <v>10</v>
      </c>
      <c r="G2">
        <f t="shared" ref="G2:G11" si="0">$B$15+$B$14*B2</f>
        <v>1.1781818181818142</v>
      </c>
      <c r="H2">
        <f>(G2-C2)^2</f>
        <v>1.4839669421488578E-2</v>
      </c>
    </row>
    <row r="3" spans="1:8" x14ac:dyDescent="0.3">
      <c r="A3">
        <v>2</v>
      </c>
      <c r="B3" s="1">
        <v>2</v>
      </c>
      <c r="C3" s="1">
        <v>3.5</v>
      </c>
      <c r="D3" s="1">
        <f t="shared" ref="D3:D11" si="1">B3*C3</f>
        <v>7</v>
      </c>
      <c r="E3" s="1">
        <f t="shared" ref="E3:E11" si="2">B3^2</f>
        <v>4</v>
      </c>
      <c r="F3" t="s">
        <v>11</v>
      </c>
      <c r="G3">
        <f t="shared" si="0"/>
        <v>2.7163636363636332</v>
      </c>
      <c r="H3">
        <f t="shared" ref="H3:H11" si="3">(G3-C3)^2</f>
        <v>0.61408595041322811</v>
      </c>
    </row>
    <row r="4" spans="1:8" x14ac:dyDescent="0.3">
      <c r="A4">
        <v>3</v>
      </c>
      <c r="B4" s="1">
        <v>3</v>
      </c>
      <c r="C4" s="1">
        <v>4.2</v>
      </c>
      <c r="D4" s="1">
        <f t="shared" si="1"/>
        <v>12.600000000000001</v>
      </c>
      <c r="E4" s="1">
        <f t="shared" si="2"/>
        <v>9</v>
      </c>
      <c r="F4" t="s">
        <v>12</v>
      </c>
      <c r="G4">
        <f t="shared" si="0"/>
        <v>4.2545454545454531</v>
      </c>
      <c r="H4">
        <f t="shared" si="3"/>
        <v>2.9752066115700682E-3</v>
      </c>
    </row>
    <row r="5" spans="1:8" x14ac:dyDescent="0.3">
      <c r="A5">
        <v>4</v>
      </c>
      <c r="B5" s="1">
        <v>4</v>
      </c>
      <c r="C5" s="1">
        <v>5</v>
      </c>
      <c r="D5" s="1">
        <f t="shared" si="1"/>
        <v>20</v>
      </c>
      <c r="E5" s="1">
        <f t="shared" si="2"/>
        <v>16</v>
      </c>
      <c r="G5">
        <f t="shared" si="0"/>
        <v>5.7927272727272721</v>
      </c>
      <c r="H5">
        <f t="shared" si="3"/>
        <v>0.62841652892561872</v>
      </c>
    </row>
    <row r="6" spans="1:8" x14ac:dyDescent="0.3">
      <c r="A6">
        <v>5</v>
      </c>
      <c r="B6" s="1">
        <v>5</v>
      </c>
      <c r="C6" s="1">
        <v>7</v>
      </c>
      <c r="D6" s="1">
        <f t="shared" si="1"/>
        <v>35</v>
      </c>
      <c r="E6" s="1">
        <f t="shared" si="2"/>
        <v>25</v>
      </c>
      <c r="G6">
        <f t="shared" si="0"/>
        <v>7.330909090909091</v>
      </c>
      <c r="H6">
        <f t="shared" si="3"/>
        <v>0.10950082644628108</v>
      </c>
    </row>
    <row r="7" spans="1:8" x14ac:dyDescent="0.3">
      <c r="A7">
        <v>6</v>
      </c>
      <c r="B7" s="1">
        <v>6</v>
      </c>
      <c r="C7" s="1">
        <v>8.8000000000000007</v>
      </c>
      <c r="D7" s="1">
        <f t="shared" si="1"/>
        <v>52.800000000000004</v>
      </c>
      <c r="E7" s="1">
        <f t="shared" si="2"/>
        <v>36</v>
      </c>
      <c r="G7">
        <f t="shared" si="0"/>
        <v>8.8690909090909109</v>
      </c>
      <c r="H7">
        <f t="shared" si="3"/>
        <v>4.7735537190084177E-3</v>
      </c>
    </row>
    <row r="8" spans="1:8" x14ac:dyDescent="0.3">
      <c r="A8">
        <v>7</v>
      </c>
      <c r="B8" s="1">
        <v>7</v>
      </c>
      <c r="C8" s="1">
        <v>10.1</v>
      </c>
      <c r="D8" s="1">
        <f t="shared" si="1"/>
        <v>70.7</v>
      </c>
      <c r="E8" s="1">
        <f t="shared" si="2"/>
        <v>49</v>
      </c>
      <c r="G8">
        <f t="shared" si="0"/>
        <v>10.40727272727273</v>
      </c>
      <c r="H8">
        <f t="shared" si="3"/>
        <v>9.4416528925621662E-2</v>
      </c>
    </row>
    <row r="9" spans="1:8" x14ac:dyDescent="0.3">
      <c r="A9">
        <v>8</v>
      </c>
      <c r="B9" s="1">
        <v>8</v>
      </c>
      <c r="C9" s="1">
        <v>12.5</v>
      </c>
      <c r="D9" s="1">
        <f t="shared" si="1"/>
        <v>100</v>
      </c>
      <c r="E9" s="1">
        <f t="shared" si="2"/>
        <v>64</v>
      </c>
      <c r="G9">
        <f t="shared" si="0"/>
        <v>11.945454545454549</v>
      </c>
      <c r="H9">
        <f t="shared" si="3"/>
        <v>0.30752066115702098</v>
      </c>
    </row>
    <row r="10" spans="1:8" x14ac:dyDescent="0.3">
      <c r="A10">
        <v>9</v>
      </c>
      <c r="B10" s="1">
        <v>9</v>
      </c>
      <c r="C10" s="1">
        <v>13</v>
      </c>
      <c r="D10" s="1">
        <f t="shared" si="1"/>
        <v>117</v>
      </c>
      <c r="E10" s="1">
        <f t="shared" si="2"/>
        <v>81</v>
      </c>
      <c r="G10">
        <f t="shared" si="0"/>
        <v>13.483636363636368</v>
      </c>
      <c r="H10">
        <f t="shared" si="3"/>
        <v>0.23390413223140905</v>
      </c>
    </row>
    <row r="11" spans="1:8" x14ac:dyDescent="0.3">
      <c r="A11">
        <v>10</v>
      </c>
      <c r="B11" s="1">
        <v>10</v>
      </c>
      <c r="C11" s="1">
        <v>15.6</v>
      </c>
      <c r="D11" s="1">
        <f t="shared" si="1"/>
        <v>156</v>
      </c>
      <c r="E11" s="1">
        <f t="shared" si="2"/>
        <v>100</v>
      </c>
      <c r="G11">
        <f t="shared" si="0"/>
        <v>15.021818181818187</v>
      </c>
      <c r="H11">
        <f t="shared" si="3"/>
        <v>0.33429421487602684</v>
      </c>
    </row>
    <row r="12" spans="1:8" x14ac:dyDescent="0.3">
      <c r="A12" t="s">
        <v>3</v>
      </c>
      <c r="B12" s="3">
        <f>SUM(B2:B11)</f>
        <v>55</v>
      </c>
      <c r="C12" s="3">
        <f>SUM(C2:C11)</f>
        <v>81</v>
      </c>
      <c r="D12" s="3">
        <f t="shared" ref="D12:E12" si="4">SUM(D2:D11)</f>
        <v>572.40000000000009</v>
      </c>
      <c r="E12" s="3">
        <f t="shared" si="4"/>
        <v>385</v>
      </c>
      <c r="G12" t="s">
        <v>13</v>
      </c>
      <c r="H12">
        <f>SUM(H2:H11)</f>
        <v>2.3447272727272734</v>
      </c>
    </row>
    <row r="14" spans="1:8" x14ac:dyDescent="0.3">
      <c r="A14" t="s">
        <v>6</v>
      </c>
      <c r="B14">
        <f>(A11*D12-B12*C12)/(A11*E12-B12^2)</f>
        <v>1.5381818181818192</v>
      </c>
    </row>
    <row r="15" spans="1:8" x14ac:dyDescent="0.3">
      <c r="A15" t="s">
        <v>7</v>
      </c>
      <c r="B15">
        <f>(C12-B14*B12)/A11</f>
        <v>-0.36000000000000509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3D0C-58C0-4A88-A59A-E98A4822127E}">
  <dimension ref="A1:I11"/>
  <sheetViews>
    <sheetView workbookViewId="0">
      <selection activeCell="D14" sqref="D14"/>
    </sheetView>
  </sheetViews>
  <sheetFormatPr baseColWidth="10" defaultRowHeight="14.4" x14ac:dyDescent="0.3"/>
  <sheetData>
    <row r="1" spans="1:9" x14ac:dyDescent="0.3">
      <c r="A1" s="5" t="s">
        <v>2</v>
      </c>
      <c r="B1" s="5" t="s">
        <v>0</v>
      </c>
      <c r="C1" s="5" t="s">
        <v>1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spans="1:9" x14ac:dyDescent="0.3">
      <c r="A2" s="1">
        <v>1</v>
      </c>
      <c r="B2" s="1">
        <v>1</v>
      </c>
      <c r="C2" s="1">
        <v>1.84</v>
      </c>
      <c r="D2" s="1">
        <f>LN(B2)</f>
        <v>0</v>
      </c>
      <c r="E2" s="1">
        <f>LN(C2)</f>
        <v>0.60976557162089429</v>
      </c>
      <c r="F2" s="1">
        <f>D2*E2</f>
        <v>0</v>
      </c>
      <c r="G2" s="1">
        <f>D2^2</f>
        <v>0</v>
      </c>
      <c r="H2" s="1">
        <f>$B$11*B2^$B$10</f>
        <v>1.8280236780694563</v>
      </c>
      <c r="I2" s="1">
        <f>(C2-H2)^2</f>
        <v>1.4343228698402355E-4</v>
      </c>
    </row>
    <row r="3" spans="1:9" x14ac:dyDescent="0.3">
      <c r="A3" s="1">
        <v>2</v>
      </c>
      <c r="B3" s="1">
        <v>1.1000000000000001</v>
      </c>
      <c r="C3" s="1">
        <v>1.96</v>
      </c>
      <c r="D3" s="1">
        <f t="shared" ref="D3:D6" si="0">LN(B3)</f>
        <v>9.5310179804324935E-2</v>
      </c>
      <c r="E3" s="1">
        <f t="shared" ref="E3:E6" si="1">LN(C3)</f>
        <v>0.67294447324242579</v>
      </c>
      <c r="F3" s="1">
        <f t="shared" ref="F3:F6" si="2">D3*E3</f>
        <v>6.4138458743062329E-2</v>
      </c>
      <c r="G3" s="1">
        <f t="shared" ref="G3:G7" si="3">D3^2</f>
        <v>9.0840303743327487E-3</v>
      </c>
      <c r="H3" s="1">
        <f t="shared" ref="H3:H7" si="4">$B$11*B3^$B$10</f>
        <v>1.961516508546856</v>
      </c>
      <c r="I3" s="1">
        <f t="shared" ref="I3:I7" si="5">(C3-H3)^2</f>
        <v>2.2997981726873949E-6</v>
      </c>
    </row>
    <row r="4" spans="1:9" x14ac:dyDescent="0.3">
      <c r="A4" s="1">
        <v>3</v>
      </c>
      <c r="B4" s="1">
        <v>1.3</v>
      </c>
      <c r="C4" s="1">
        <v>2.21</v>
      </c>
      <c r="D4" s="1">
        <f t="shared" si="0"/>
        <v>0.26236426446749106</v>
      </c>
      <c r="E4" s="1">
        <f t="shared" si="1"/>
        <v>0.79299251552966143</v>
      </c>
      <c r="F4" s="1">
        <f t="shared" si="2"/>
        <v>0.20805289806516511</v>
      </c>
      <c r="G4" s="1">
        <f t="shared" si="3"/>
        <v>6.8835007269567594E-2</v>
      </c>
      <c r="H4" s="1">
        <f t="shared" si="4"/>
        <v>2.2194411910234528</v>
      </c>
      <c r="I4" s="1">
        <f t="shared" si="5"/>
        <v>8.9136087941326986E-5</v>
      </c>
    </row>
    <row r="5" spans="1:9" x14ac:dyDescent="0.3">
      <c r="A5" s="1">
        <v>4</v>
      </c>
      <c r="B5" s="1">
        <v>1.5</v>
      </c>
      <c r="C5" s="1">
        <v>2.4500000000000002</v>
      </c>
      <c r="D5" s="1">
        <f t="shared" si="0"/>
        <v>0.40546510810816438</v>
      </c>
      <c r="E5" s="1">
        <f t="shared" si="1"/>
        <v>0.89608802455663572</v>
      </c>
      <c r="F5" s="1">
        <f t="shared" si="2"/>
        <v>0.36333242775128777</v>
      </c>
      <c r="G5" s="1">
        <f t="shared" si="3"/>
        <v>0.16440195389316542</v>
      </c>
      <c r="H5" s="1">
        <f t="shared" si="4"/>
        <v>2.4671889403101148</v>
      </c>
      <c r="I5" s="1">
        <f t="shared" si="5"/>
        <v>2.9545966898468403E-4</v>
      </c>
    </row>
    <row r="6" spans="1:9" x14ac:dyDescent="0.3">
      <c r="A6" s="1">
        <v>5</v>
      </c>
      <c r="B6" s="1">
        <v>1.9</v>
      </c>
      <c r="C6" s="1">
        <v>2.94</v>
      </c>
      <c r="D6" s="1">
        <f t="shared" si="0"/>
        <v>0.64185388617239469</v>
      </c>
      <c r="E6" s="1">
        <f t="shared" si="1"/>
        <v>1.0784095813505903</v>
      </c>
      <c r="F6" s="1">
        <f t="shared" si="2"/>
        <v>0.69218138067542156</v>
      </c>
      <c r="G6" s="1">
        <f t="shared" si="3"/>
        <v>0.41197641119460543</v>
      </c>
      <c r="H6" s="1">
        <f t="shared" si="4"/>
        <v>2.9384740286891051</v>
      </c>
      <c r="I6" s="1">
        <f t="shared" si="5"/>
        <v>2.32858844167407E-6</v>
      </c>
    </row>
    <row r="7" spans="1:9" x14ac:dyDescent="0.3">
      <c r="A7" s="1">
        <v>6</v>
      </c>
      <c r="B7" s="1">
        <v>2.1</v>
      </c>
      <c r="C7" s="1">
        <v>3.18</v>
      </c>
      <c r="D7" s="1">
        <f>LN(B7)</f>
        <v>0.74193734472937733</v>
      </c>
      <c r="E7" s="1">
        <f>LN(C7)</f>
        <v>1.1568811967920856</v>
      </c>
      <c r="F7" s="1">
        <f>D7*E7</f>
        <v>0.85833336331526422</v>
      </c>
      <c r="G7" s="1">
        <f t="shared" si="3"/>
        <v>0.55047102350407895</v>
      </c>
      <c r="H7" s="1">
        <f t="shared" si="4"/>
        <v>3.1642078988850044</v>
      </c>
      <c r="I7" s="1">
        <f t="shared" si="5"/>
        <v>2.4939045762624961E-4</v>
      </c>
    </row>
    <row r="8" spans="1:9" x14ac:dyDescent="0.3">
      <c r="A8" t="s">
        <v>3</v>
      </c>
      <c r="D8">
        <f>SUM(D2:D7)</f>
        <v>2.1469307832817526</v>
      </c>
      <c r="E8">
        <f t="shared" ref="E8:G8" si="6">SUM(E2:E7)</f>
        <v>5.2070813630922927</v>
      </c>
      <c r="F8">
        <f t="shared" si="6"/>
        <v>2.1860385285502009</v>
      </c>
      <c r="G8">
        <f t="shared" si="6"/>
        <v>1.2047684262357503</v>
      </c>
      <c r="I8" s="4">
        <f>SUM(I2:I7)</f>
        <v>7.8204688815064569E-4</v>
      </c>
    </row>
    <row r="10" spans="1:9" x14ac:dyDescent="0.3">
      <c r="A10" t="s">
        <v>6</v>
      </c>
      <c r="B10">
        <f>(A7*F8-D8*E8)/(A7*G8-D8^2)</f>
        <v>0.73950628488578407</v>
      </c>
    </row>
    <row r="11" spans="1:9" x14ac:dyDescent="0.3">
      <c r="A11" t="s">
        <v>7</v>
      </c>
      <c r="B11">
        <f>EXP((E8-B10*D8)/A7)</f>
        <v>1.8280236780694563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8AE6-32C5-4008-B604-80BE7D32AC8D}">
  <dimension ref="A1:H11"/>
  <sheetViews>
    <sheetView tabSelected="1" workbookViewId="0">
      <selection activeCell="I16" sqref="I16"/>
    </sheetView>
  </sheetViews>
  <sheetFormatPr baseColWidth="10" defaultRowHeight="14.4" x14ac:dyDescent="0.3"/>
  <cols>
    <col min="8" max="8" width="12" bestFit="1" customWidth="1"/>
  </cols>
  <sheetData>
    <row r="1" spans="1:8" x14ac:dyDescent="0.3">
      <c r="A1" s="6" t="s">
        <v>2</v>
      </c>
      <c r="B1" s="7" t="s">
        <v>21</v>
      </c>
      <c r="C1" s="7" t="s">
        <v>22</v>
      </c>
      <c r="D1" s="7" t="s">
        <v>16</v>
      </c>
      <c r="E1" s="7" t="s">
        <v>23</v>
      </c>
      <c r="F1" s="7" t="s">
        <v>5</v>
      </c>
      <c r="G1" s="8" t="s">
        <v>24</v>
      </c>
      <c r="H1" s="8" t="s">
        <v>20</v>
      </c>
    </row>
    <row r="2" spans="1:8" x14ac:dyDescent="0.3">
      <c r="A2" s="1">
        <v>1</v>
      </c>
      <c r="B2" s="1">
        <v>1</v>
      </c>
      <c r="C2" s="1">
        <v>5.0999999999999996</v>
      </c>
      <c r="D2" s="1">
        <f>LN(C2)</f>
        <v>1.62924053973028</v>
      </c>
      <c r="E2" s="1">
        <f>B2*D2</f>
        <v>1.62924053973028</v>
      </c>
      <c r="F2" s="1">
        <f>B2^2</f>
        <v>1</v>
      </c>
      <c r="G2">
        <f>$B$10*EXP($B$9*B2)</f>
        <v>5.0947408123846909</v>
      </c>
      <c r="H2">
        <f>(C2-G2)^2</f>
        <v>2.7659054373016903E-5</v>
      </c>
    </row>
    <row r="3" spans="1:8" x14ac:dyDescent="0.3">
      <c r="A3" s="1">
        <v>2</v>
      </c>
      <c r="B3" s="1">
        <v>1.25</v>
      </c>
      <c r="C3" s="1">
        <v>5.79</v>
      </c>
      <c r="D3" s="1">
        <f t="shared" ref="D3:D6" si="0">LN(C3)</f>
        <v>1.7561322915849038</v>
      </c>
      <c r="E3" s="1">
        <f t="shared" ref="E3:E6" si="1">B3*D3</f>
        <v>2.19516536448113</v>
      </c>
      <c r="F3" s="1">
        <f t="shared" ref="F3:F6" si="2">B3^2</f>
        <v>1.5625</v>
      </c>
      <c r="G3">
        <f t="shared" ref="G3:G5" si="3">$B$10*EXP($B$9*B3)</f>
        <v>5.781358532342888</v>
      </c>
      <c r="H3">
        <f t="shared" ref="H3:H6" si="4">(C3-G3)^2</f>
        <v>7.4674963268913538E-5</v>
      </c>
    </row>
    <row r="4" spans="1:8" x14ac:dyDescent="0.3">
      <c r="A4" s="1">
        <v>3</v>
      </c>
      <c r="B4" s="1">
        <v>1.5</v>
      </c>
      <c r="C4" s="1">
        <v>6.53</v>
      </c>
      <c r="D4" s="1">
        <f t="shared" si="0"/>
        <v>1.8764069432883397</v>
      </c>
      <c r="E4" s="1">
        <f t="shared" si="1"/>
        <v>2.8146104149325097</v>
      </c>
      <c r="F4" s="1">
        <f t="shared" si="2"/>
        <v>2.25</v>
      </c>
      <c r="G4">
        <f t="shared" si="3"/>
        <v>6.560511655125616</v>
      </c>
      <c r="H4">
        <f t="shared" si="4"/>
        <v>9.3096109850451152E-4</v>
      </c>
    </row>
    <row r="5" spans="1:8" x14ac:dyDescent="0.3">
      <c r="A5" s="1">
        <v>4</v>
      </c>
      <c r="B5" s="1">
        <v>1.75</v>
      </c>
      <c r="C5" s="1">
        <v>7.45</v>
      </c>
      <c r="D5" s="1">
        <f t="shared" si="0"/>
        <v>2.0082140323914683</v>
      </c>
      <c r="E5" s="1">
        <f t="shared" si="1"/>
        <v>3.5143745566850697</v>
      </c>
      <c r="F5" s="1">
        <f t="shared" si="2"/>
        <v>3.0625</v>
      </c>
      <c r="G5">
        <f t="shared" si="3"/>
        <v>7.4446711679022988</v>
      </c>
      <c r="H5">
        <f t="shared" si="4"/>
        <v>2.839645152549279E-5</v>
      </c>
    </row>
    <row r="6" spans="1:8" x14ac:dyDescent="0.3">
      <c r="A6" s="1">
        <v>5</v>
      </c>
      <c r="B6" s="1">
        <v>2</v>
      </c>
      <c r="C6" s="1">
        <v>8.4600000000000009</v>
      </c>
      <c r="D6" s="1">
        <f t="shared" si="0"/>
        <v>2.135349173618132</v>
      </c>
      <c r="E6" s="1">
        <f t="shared" si="1"/>
        <v>4.2706983472362641</v>
      </c>
      <c r="F6" s="1">
        <f t="shared" si="2"/>
        <v>4</v>
      </c>
      <c r="G6">
        <f>$B$10*EXP($B$9*B6)</f>
        <v>8.4479887715609259</v>
      </c>
      <c r="H6">
        <f t="shared" si="4"/>
        <v>1.4426960861564365E-4</v>
      </c>
    </row>
    <row r="7" spans="1:8" x14ac:dyDescent="0.3">
      <c r="A7" s="1" t="s">
        <v>3</v>
      </c>
      <c r="B7" s="3">
        <f>SUM(B2:B6)</f>
        <v>7.5</v>
      </c>
      <c r="C7" s="3">
        <f>SUM(C2:C6)</f>
        <v>33.33</v>
      </c>
      <c r="D7" s="3">
        <f t="shared" ref="D7:H7" si="5">SUM(D2:D6)</f>
        <v>9.4053429806131241</v>
      </c>
      <c r="E7" s="3">
        <f t="shared" si="5"/>
        <v>14.424089223065254</v>
      </c>
      <c r="F7" s="3">
        <f t="shared" si="5"/>
        <v>11.875</v>
      </c>
      <c r="G7" s="3">
        <f t="shared" si="5"/>
        <v>33.329270939316416</v>
      </c>
      <c r="H7" s="3">
        <f t="shared" si="5"/>
        <v>1.2059611762875783E-3</v>
      </c>
    </row>
    <row r="9" spans="1:8" x14ac:dyDescent="0.3">
      <c r="A9" t="s">
        <v>6</v>
      </c>
      <c r="B9">
        <f>(A6*E7-B7*D7)/(A6*F7-(B7)^2)</f>
        <v>0.50571960343290812</v>
      </c>
    </row>
    <row r="10" spans="1:8" x14ac:dyDescent="0.3">
      <c r="A10" t="s">
        <v>7</v>
      </c>
      <c r="B10">
        <f>EXP((D7-B9*B7)/A6)</f>
        <v>3.0724927136216218</v>
      </c>
    </row>
    <row r="11" spans="1:8" x14ac:dyDescent="0.3">
      <c r="A11" t="s">
        <v>25</v>
      </c>
      <c r="B11">
        <v>1.7</v>
      </c>
      <c r="C11">
        <f>B10*EXP(B9*B11)</f>
        <v>7.2587854162904275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316A-C64B-4620-A75A-4A8641E1BBA3}">
  <dimension ref="A1:I27"/>
  <sheetViews>
    <sheetView workbookViewId="0">
      <selection sqref="A1:C10"/>
    </sheetView>
  </sheetViews>
  <sheetFormatPr baseColWidth="10" defaultRowHeight="14.4" x14ac:dyDescent="0.3"/>
  <sheetData>
    <row r="1" spans="1:8" x14ac:dyDescent="0.3">
      <c r="A1" t="s">
        <v>2</v>
      </c>
      <c r="B1" s="1" t="s">
        <v>0</v>
      </c>
      <c r="C1" s="1" t="s">
        <v>1</v>
      </c>
      <c r="D1" s="1" t="s">
        <v>4</v>
      </c>
      <c r="E1" s="1" t="s">
        <v>5</v>
      </c>
      <c r="F1" s="2" t="s">
        <v>9</v>
      </c>
      <c r="G1" s="2" t="s">
        <v>8</v>
      </c>
      <c r="H1" s="2" t="s">
        <v>14</v>
      </c>
    </row>
    <row r="2" spans="1:8" x14ac:dyDescent="0.3">
      <c r="A2">
        <v>1</v>
      </c>
      <c r="B2" s="1">
        <v>1</v>
      </c>
      <c r="C2" s="1">
        <v>1</v>
      </c>
      <c r="D2" s="1">
        <f>B2*C2</f>
        <v>1</v>
      </c>
      <c r="E2" s="1">
        <f>B2^2</f>
        <v>1</v>
      </c>
      <c r="F2" t="s">
        <v>10</v>
      </c>
      <c r="G2">
        <f t="shared" ref="G2:G10" si="0">$B$14+$B$13*B2</f>
        <v>-29.724275555555593</v>
      </c>
      <c r="H2">
        <f>(G2-C2)^2</f>
        <v>943.9811084137109</v>
      </c>
    </row>
    <row r="3" spans="1:8" x14ac:dyDescent="0.3">
      <c r="A3">
        <v>2</v>
      </c>
      <c r="B3" s="1">
        <v>1.25</v>
      </c>
      <c r="C3" s="1">
        <v>4.0711000000000004</v>
      </c>
      <c r="D3" s="1">
        <f t="shared" ref="D3:D10" si="1">B3*C3</f>
        <v>5.0888750000000007</v>
      </c>
      <c r="E3" s="1">
        <f t="shared" ref="E3:E10" si="2">B3^2</f>
        <v>1.5625</v>
      </c>
      <c r="F3" t="s">
        <v>11</v>
      </c>
      <c r="G3">
        <f t="shared" si="0"/>
        <v>-8.5367455555555836</v>
      </c>
      <c r="H3">
        <f t="shared" ref="H3:H10" si="3">(G3-C3)^2</f>
        <v>158.95776955274272</v>
      </c>
    </row>
    <row r="4" spans="1:8" x14ac:dyDescent="0.3">
      <c r="A4">
        <v>3</v>
      </c>
      <c r="B4" s="1">
        <v>1.5</v>
      </c>
      <c r="C4" s="1">
        <v>9</v>
      </c>
      <c r="D4" s="1">
        <f t="shared" si="1"/>
        <v>13.5</v>
      </c>
      <c r="E4" s="1">
        <f t="shared" si="2"/>
        <v>2.25</v>
      </c>
      <c r="F4" t="s">
        <v>12</v>
      </c>
      <c r="G4">
        <f t="shared" si="0"/>
        <v>12.650784444444426</v>
      </c>
      <c r="H4">
        <f t="shared" si="3"/>
        <v>13.328227059797396</v>
      </c>
    </row>
    <row r="5" spans="1:8" x14ac:dyDescent="0.3">
      <c r="A5">
        <v>4</v>
      </c>
      <c r="B5" s="1">
        <v>1.75</v>
      </c>
      <c r="C5" s="1">
        <v>16.798999999999999</v>
      </c>
      <c r="D5" s="1">
        <f t="shared" si="1"/>
        <v>29.398249999999997</v>
      </c>
      <c r="E5" s="1">
        <f t="shared" si="2"/>
        <v>3.0625</v>
      </c>
      <c r="G5">
        <f t="shared" si="0"/>
        <v>33.838314444444435</v>
      </c>
      <c r="H5">
        <f t="shared" si="3"/>
        <v>290.33823673665279</v>
      </c>
    </row>
    <row r="6" spans="1:8" x14ac:dyDescent="0.3">
      <c r="A6">
        <v>5</v>
      </c>
      <c r="B6" s="1">
        <v>2</v>
      </c>
      <c r="C6" s="1">
        <v>29</v>
      </c>
      <c r="D6" s="1">
        <f t="shared" si="1"/>
        <v>58</v>
      </c>
      <c r="E6" s="1">
        <f t="shared" si="2"/>
        <v>4</v>
      </c>
      <c r="G6">
        <f t="shared" si="0"/>
        <v>55.025844444444445</v>
      </c>
      <c r="H6">
        <f t="shared" si="3"/>
        <v>677.34457904641977</v>
      </c>
    </row>
    <row r="7" spans="1:8" x14ac:dyDescent="0.3">
      <c r="A7">
        <v>6</v>
      </c>
      <c r="B7" s="1">
        <v>2.25</v>
      </c>
      <c r="C7" s="1">
        <v>47.911700000000003</v>
      </c>
      <c r="D7" s="1">
        <f t="shared" si="1"/>
        <v>107.80132500000001</v>
      </c>
      <c r="E7" s="1">
        <f t="shared" si="2"/>
        <v>5.0625</v>
      </c>
      <c r="G7">
        <f t="shared" si="0"/>
        <v>76.213374444444455</v>
      </c>
      <c r="H7">
        <f t="shared" si="3"/>
        <v>800.98477635932011</v>
      </c>
    </row>
    <row r="8" spans="1:8" x14ac:dyDescent="0.3">
      <c r="A8">
        <v>7</v>
      </c>
      <c r="B8" s="1">
        <v>2.5</v>
      </c>
      <c r="C8" s="1">
        <v>77</v>
      </c>
      <c r="D8" s="1">
        <f t="shared" si="1"/>
        <v>192.5</v>
      </c>
      <c r="E8" s="1">
        <f t="shared" si="2"/>
        <v>6.25</v>
      </c>
      <c r="G8">
        <f t="shared" si="0"/>
        <v>97.400904444444464</v>
      </c>
      <c r="H8">
        <f t="shared" si="3"/>
        <v>416.19690215135387</v>
      </c>
    </row>
    <row r="9" spans="1:8" x14ac:dyDescent="0.3">
      <c r="A9">
        <v>8</v>
      </c>
      <c r="B9" s="1">
        <v>2.75</v>
      </c>
      <c r="C9" s="1">
        <v>121.4508</v>
      </c>
      <c r="D9" s="1">
        <f t="shared" si="1"/>
        <v>333.98970000000003</v>
      </c>
      <c r="E9" s="1">
        <f t="shared" si="2"/>
        <v>7.5625</v>
      </c>
      <c r="G9">
        <f t="shared" si="0"/>
        <v>118.58843444444447</v>
      </c>
      <c r="H9">
        <f t="shared" si="3"/>
        <v>8.1931365736307029</v>
      </c>
    </row>
    <row r="10" spans="1:8" x14ac:dyDescent="0.3">
      <c r="A10">
        <v>9</v>
      </c>
      <c r="B10" s="1">
        <v>3</v>
      </c>
      <c r="C10" s="1">
        <v>189</v>
      </c>
      <c r="D10" s="1">
        <f t="shared" si="1"/>
        <v>567</v>
      </c>
      <c r="E10" s="1">
        <f t="shared" si="2"/>
        <v>9</v>
      </c>
      <c r="G10">
        <f t="shared" si="0"/>
        <v>139.77596444444447</v>
      </c>
      <c r="H10">
        <f t="shared" si="3"/>
        <v>2423.0056763745952</v>
      </c>
    </row>
    <row r="11" spans="1:8" x14ac:dyDescent="0.3">
      <c r="A11" t="s">
        <v>3</v>
      </c>
      <c r="B11" s="3">
        <f>SUM(B2:B10)</f>
        <v>18</v>
      </c>
      <c r="C11" s="3">
        <f>SUM(C2:C10)</f>
        <v>495.23259999999999</v>
      </c>
      <c r="D11" s="3">
        <f>SUM(D2:D10)</f>
        <v>1308.2781500000001</v>
      </c>
      <c r="E11" s="3">
        <f>SUM(E2:E10)</f>
        <v>39.75</v>
      </c>
      <c r="G11" t="s">
        <v>13</v>
      </c>
      <c r="H11">
        <f>SUM(H2:H10)</f>
        <v>5732.3304122682239</v>
      </c>
    </row>
    <row r="13" spans="1:8" x14ac:dyDescent="0.3">
      <c r="A13" t="s">
        <v>6</v>
      </c>
      <c r="B13">
        <f>(A10*D11-B11*C11)/(A10*E11-B11^2)</f>
        <v>84.750120000000038</v>
      </c>
    </row>
    <row r="14" spans="1:8" x14ac:dyDescent="0.3">
      <c r="A14" t="s">
        <v>7</v>
      </c>
      <c r="B14">
        <f>(C11-B13*B11)/A10</f>
        <v>-114.47439555555563</v>
      </c>
    </row>
    <row r="17" spans="2:9" x14ac:dyDescent="0.3">
      <c r="B17" s="1"/>
      <c r="C17" s="1"/>
      <c r="D17" s="5"/>
      <c r="E17" s="5"/>
      <c r="F17" s="5"/>
      <c r="G17" s="5"/>
      <c r="H17" s="5"/>
      <c r="I17" s="5"/>
    </row>
    <row r="18" spans="2:9" x14ac:dyDescent="0.3">
      <c r="B18" s="1"/>
      <c r="C18" s="1"/>
      <c r="D18" s="1"/>
      <c r="E18" s="1"/>
      <c r="F18" s="1"/>
      <c r="G18" s="1"/>
      <c r="H18" s="1"/>
      <c r="I18" s="1"/>
    </row>
    <row r="19" spans="2:9" x14ac:dyDescent="0.3">
      <c r="B19" s="1"/>
      <c r="C19" s="1"/>
      <c r="D19" s="1"/>
      <c r="E19" s="1"/>
      <c r="F19" s="1"/>
      <c r="G19" s="1"/>
      <c r="H19" s="1"/>
      <c r="I19" s="1"/>
    </row>
    <row r="20" spans="2:9" x14ac:dyDescent="0.3">
      <c r="B20" s="1"/>
      <c r="C20" s="1"/>
      <c r="D20" s="1"/>
      <c r="E20" s="1"/>
      <c r="F20" s="1"/>
      <c r="G20" s="1"/>
      <c r="H20" s="1"/>
      <c r="I20" s="1"/>
    </row>
    <row r="21" spans="2:9" x14ac:dyDescent="0.3">
      <c r="B21" s="1"/>
      <c r="C21" s="1"/>
      <c r="D21" s="1"/>
      <c r="E21" s="1"/>
      <c r="F21" s="1"/>
      <c r="G21" s="1"/>
      <c r="H21" s="1"/>
      <c r="I21" s="1"/>
    </row>
    <row r="22" spans="2:9" x14ac:dyDescent="0.3">
      <c r="B22" s="1"/>
      <c r="C22" s="1"/>
      <c r="D22" s="1"/>
      <c r="E22" s="1"/>
      <c r="F22" s="1"/>
      <c r="G22" s="1"/>
      <c r="H22" s="1"/>
      <c r="I22" s="1"/>
    </row>
    <row r="23" spans="2:9" x14ac:dyDescent="0.3">
      <c r="B23" s="1"/>
      <c r="C23" s="1"/>
      <c r="D23" s="1"/>
      <c r="E23" s="1"/>
      <c r="F23" s="1"/>
      <c r="G23" s="1"/>
      <c r="H23" s="1"/>
      <c r="I23" s="1"/>
    </row>
    <row r="24" spans="2:9" x14ac:dyDescent="0.3">
      <c r="B24" s="1"/>
      <c r="C24" s="1"/>
      <c r="D24" s="1"/>
      <c r="E24" s="1"/>
      <c r="F24" s="1"/>
      <c r="G24" s="1"/>
      <c r="H24" s="1"/>
      <c r="I24" s="1"/>
    </row>
    <row r="25" spans="2:9" x14ac:dyDescent="0.3">
      <c r="B25" s="1"/>
      <c r="C25" s="1"/>
      <c r="D25" s="1"/>
      <c r="E25" s="1"/>
      <c r="F25" s="1"/>
      <c r="G25" s="1"/>
      <c r="H25" s="1"/>
      <c r="I25" s="1"/>
    </row>
    <row r="26" spans="2:9" x14ac:dyDescent="0.3">
      <c r="B26" s="1"/>
      <c r="C26" s="1"/>
      <c r="D26" s="1"/>
      <c r="E26" s="1"/>
      <c r="F26" s="1"/>
      <c r="G26" s="1"/>
      <c r="H26" s="1"/>
      <c r="I26" s="1"/>
    </row>
    <row r="27" spans="2:9" x14ac:dyDescent="0.3">
      <c r="B27" s="3"/>
      <c r="C27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07FB-768C-413F-9530-F49404DF5D43}">
  <dimension ref="A1:I15"/>
  <sheetViews>
    <sheetView workbookViewId="0">
      <selection sqref="A1:C11"/>
    </sheetView>
  </sheetViews>
  <sheetFormatPr baseColWidth="10" defaultRowHeight="14.4" x14ac:dyDescent="0.3"/>
  <sheetData>
    <row r="1" spans="1:9" x14ac:dyDescent="0.3">
      <c r="A1" s="1" t="s">
        <v>2</v>
      </c>
      <c r="B1" s="1" t="s">
        <v>0</v>
      </c>
      <c r="C1" s="1" t="s">
        <v>1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spans="1:9" x14ac:dyDescent="0.3">
      <c r="A2" s="1">
        <v>1</v>
      </c>
      <c r="B2" s="1">
        <v>1</v>
      </c>
      <c r="C2" s="1">
        <v>1</v>
      </c>
      <c r="D2" s="1">
        <f>LN(B2)</f>
        <v>0</v>
      </c>
      <c r="E2" s="1">
        <f>LN(C2)</f>
        <v>0</v>
      </c>
      <c r="F2" s="1">
        <f>D2*E2</f>
        <v>0</v>
      </c>
      <c r="G2" s="1">
        <f>D2^2</f>
        <v>0</v>
      </c>
      <c r="H2" s="1">
        <f t="shared" ref="H2:H7" si="0">$B$15*B2^$B$14</f>
        <v>1.2396208673382703</v>
      </c>
      <c r="I2" s="1">
        <f>(C2-H2)^2</f>
        <v>5.7418160063944915E-2</v>
      </c>
    </row>
    <row r="3" spans="1:9" x14ac:dyDescent="0.3">
      <c r="A3" s="1">
        <v>2</v>
      </c>
      <c r="B3" s="1">
        <v>1.25</v>
      </c>
      <c r="C3" s="1">
        <v>4.0711000000000004</v>
      </c>
      <c r="D3" s="1">
        <f t="shared" ref="D3:E6" si="1">LN(B3)</f>
        <v>0.22314355131420976</v>
      </c>
      <c r="E3" s="1">
        <f t="shared" si="1"/>
        <v>1.4039132332083439</v>
      </c>
      <c r="F3" s="1">
        <f t="shared" ref="F3:F6" si="2">D3*E3</f>
        <v>0.31327418459512424</v>
      </c>
      <c r="G3" s="1">
        <f t="shared" ref="G3:G7" si="3">D3^2</f>
        <v>4.9793044493117368E-2</v>
      </c>
      <c r="H3" s="1">
        <f t="shared" si="0"/>
        <v>3.4336864044005102</v>
      </c>
      <c r="I3" s="1">
        <f t="shared" ref="I3:I7" si="4">(C3-H3)^2</f>
        <v>0.40629609185507043</v>
      </c>
    </row>
    <row r="4" spans="1:9" x14ac:dyDescent="0.3">
      <c r="A4" s="1">
        <v>3</v>
      </c>
      <c r="B4" s="1">
        <v>1.5</v>
      </c>
      <c r="C4" s="1">
        <v>9</v>
      </c>
      <c r="D4" s="1">
        <f t="shared" si="1"/>
        <v>0.40546510810816438</v>
      </c>
      <c r="E4" s="1">
        <f t="shared" si="1"/>
        <v>2.1972245773362196</v>
      </c>
      <c r="F4" s="1">
        <f t="shared" si="2"/>
        <v>0.89089790078754605</v>
      </c>
      <c r="G4" s="1">
        <f t="shared" si="3"/>
        <v>0.16440195389316542</v>
      </c>
      <c r="H4" s="1">
        <f t="shared" si="0"/>
        <v>7.8938046177178363</v>
      </c>
      <c r="I4" s="1">
        <f t="shared" si="4"/>
        <v>1.2236682237823824</v>
      </c>
    </row>
    <row r="5" spans="1:9" x14ac:dyDescent="0.3">
      <c r="A5" s="1">
        <v>4</v>
      </c>
      <c r="B5" s="1">
        <v>1.75</v>
      </c>
      <c r="C5" s="1">
        <v>16.798999999999999</v>
      </c>
      <c r="D5" s="1">
        <f t="shared" si="1"/>
        <v>0.55961578793542266</v>
      </c>
      <c r="E5" s="1">
        <f t="shared" si="1"/>
        <v>2.8213193608280771</v>
      </c>
      <c r="F5" s="1">
        <f t="shared" si="2"/>
        <v>1.5788548571272674</v>
      </c>
      <c r="G5" s="1">
        <f t="shared" si="3"/>
        <v>0.31316983010658395</v>
      </c>
      <c r="H5" s="1">
        <f t="shared" si="0"/>
        <v>15.957028987423309</v>
      </c>
      <c r="I5" s="1">
        <f t="shared" si="4"/>
        <v>0.70891518601941805</v>
      </c>
    </row>
    <row r="6" spans="1:9" x14ac:dyDescent="0.3">
      <c r="A6" s="1">
        <v>5</v>
      </c>
      <c r="B6" s="1">
        <v>2</v>
      </c>
      <c r="C6" s="1">
        <v>29</v>
      </c>
      <c r="D6" s="1">
        <f t="shared" si="1"/>
        <v>0.69314718055994529</v>
      </c>
      <c r="E6" s="1">
        <f t="shared" si="1"/>
        <v>3.3672958299864741</v>
      </c>
      <c r="F6" s="1">
        <f t="shared" si="2"/>
        <v>2.3340316106663854</v>
      </c>
      <c r="G6" s="1">
        <f t="shared" si="3"/>
        <v>0.48045301391820139</v>
      </c>
      <c r="H6" s="1">
        <f t="shared" si="0"/>
        <v>29.358352004742962</v>
      </c>
      <c r="I6" s="1">
        <f t="shared" si="4"/>
        <v>0.12841615930329955</v>
      </c>
    </row>
    <row r="7" spans="1:9" x14ac:dyDescent="0.3">
      <c r="A7" s="1">
        <v>6</v>
      </c>
      <c r="B7" s="1">
        <v>2.25</v>
      </c>
      <c r="C7" s="1">
        <v>47.911700000000003</v>
      </c>
      <c r="D7" s="1">
        <f>LN(B7)</f>
        <v>0.81093021621632877</v>
      </c>
      <c r="E7" s="1">
        <f>LN(C7)</f>
        <v>3.8693597334631793</v>
      </c>
      <c r="F7" s="1">
        <f>D7*E7</f>
        <v>3.1377807252760523</v>
      </c>
      <c r="G7" s="1">
        <f t="shared" si="3"/>
        <v>0.65760781557266168</v>
      </c>
      <c r="H7" s="1">
        <f t="shared" si="0"/>
        <v>50.267104228812222</v>
      </c>
      <c r="I7" s="1">
        <f t="shared" si="4"/>
        <v>5.5479290811064841</v>
      </c>
    </row>
    <row r="8" spans="1:9" x14ac:dyDescent="0.3">
      <c r="A8" s="1">
        <v>7</v>
      </c>
      <c r="B8" s="1">
        <v>2.5</v>
      </c>
      <c r="C8" s="1">
        <v>77</v>
      </c>
      <c r="D8" s="1">
        <f t="shared" ref="D8:D10" si="5">LN(B8)</f>
        <v>0.91629073187415511</v>
      </c>
      <c r="E8" s="1">
        <f t="shared" ref="E8:E10" si="6">LN(C8)</f>
        <v>4.3438054218536841</v>
      </c>
      <c r="F8" s="1">
        <f t="shared" ref="F8:F10" si="7">D8*E8</f>
        <v>3.9801886491092353</v>
      </c>
      <c r="G8" s="1">
        <f t="shared" ref="G8:G10" si="8">D8^2</f>
        <v>0.83958870531847485</v>
      </c>
      <c r="H8" s="1">
        <f t="shared" ref="H8:H10" si="9">$B$15*B8^$B$14</f>
        <v>81.321133574288154</v>
      </c>
      <c r="I8" s="1">
        <f t="shared" ref="I8:I10" si="10">(C8-H8)^2</f>
        <v>18.67219536684032</v>
      </c>
    </row>
    <row r="9" spans="1:9" x14ac:dyDescent="0.3">
      <c r="A9" s="1">
        <v>8</v>
      </c>
      <c r="B9" s="1">
        <v>2.75</v>
      </c>
      <c r="C9" s="1">
        <v>121.4508</v>
      </c>
      <c r="D9" s="1">
        <f t="shared" si="5"/>
        <v>1.0116009116784799</v>
      </c>
      <c r="E9" s="1">
        <f t="shared" si="6"/>
        <v>4.7995092424993562</v>
      </c>
      <c r="F9" s="1">
        <f t="shared" si="7"/>
        <v>4.8551879253216388</v>
      </c>
      <c r="G9" s="1">
        <f t="shared" si="8"/>
        <v>1.0233364045087316</v>
      </c>
      <c r="H9" s="1">
        <f t="shared" si="9"/>
        <v>125.65915974124925</v>
      </c>
      <c r="I9" s="1">
        <f>(C9-H9)^2</f>
        <v>17.710291711767486</v>
      </c>
    </row>
    <row r="10" spans="1:9" x14ac:dyDescent="0.3">
      <c r="A10" s="1">
        <v>9</v>
      </c>
      <c r="B10" s="1">
        <v>3</v>
      </c>
      <c r="C10" s="1">
        <v>189</v>
      </c>
      <c r="D10" s="1">
        <f t="shared" si="5"/>
        <v>1.0986122886681098</v>
      </c>
      <c r="E10" s="1">
        <f t="shared" si="6"/>
        <v>5.2417470150596426</v>
      </c>
      <c r="F10" s="1">
        <f t="shared" si="7"/>
        <v>5.7586476848339068</v>
      </c>
      <c r="G10" s="1">
        <f t="shared" si="8"/>
        <v>1.2069489608125821</v>
      </c>
      <c r="H10" s="1">
        <f t="shared" si="9"/>
        <v>186.95159199864096</v>
      </c>
      <c r="I10" s="1">
        <f t="shared" si="10"/>
        <v>4.1959753400317199</v>
      </c>
    </row>
    <row r="11" spans="1:9" x14ac:dyDescent="0.3">
      <c r="A11" t="s">
        <v>3</v>
      </c>
      <c r="B11">
        <f>SUM(B2:B10)</f>
        <v>18</v>
      </c>
      <c r="C11">
        <f t="shared" ref="C11:I11" si="11">SUM(C2:C10)</f>
        <v>495.23259999999999</v>
      </c>
      <c r="D11">
        <f t="shared" si="11"/>
        <v>5.7188057763548157</v>
      </c>
      <c r="E11">
        <f t="shared" si="11"/>
        <v>28.04417441423498</v>
      </c>
      <c r="F11">
        <f t="shared" si="11"/>
        <v>22.848863537717154</v>
      </c>
      <c r="G11">
        <f t="shared" si="11"/>
        <v>4.7352997286235183</v>
      </c>
      <c r="H11">
        <f t="shared" si="11"/>
        <v>502.08148242461345</v>
      </c>
      <c r="I11">
        <f t="shared" si="11"/>
        <v>48.651105320770128</v>
      </c>
    </row>
    <row r="14" spans="1:9" x14ac:dyDescent="0.3">
      <c r="A14" t="s">
        <v>6</v>
      </c>
      <c r="B14">
        <f>(A10*F11-D11*E11)/(A10*G11-D11^2)</f>
        <v>4.5658001353580007</v>
      </c>
    </row>
    <row r="15" spans="1:9" x14ac:dyDescent="0.3">
      <c r="A15" t="s">
        <v>7</v>
      </c>
      <c r="B15">
        <f>EXP((E11-B14*D11)/A10)</f>
        <v>1.2396208673382703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21C5-DEFA-424E-947B-CCFEEC4C35BE}">
  <dimension ref="A1:H15"/>
  <sheetViews>
    <sheetView workbookViewId="0">
      <selection activeCell="I10" sqref="I10"/>
    </sheetView>
  </sheetViews>
  <sheetFormatPr baseColWidth="10" defaultRowHeight="14.4" x14ac:dyDescent="0.3"/>
  <sheetData>
    <row r="1" spans="1:8" x14ac:dyDescent="0.3">
      <c r="A1" s="1" t="s">
        <v>2</v>
      </c>
      <c r="B1" s="1" t="s">
        <v>0</v>
      </c>
      <c r="C1" s="1" t="s">
        <v>1</v>
      </c>
      <c r="D1" s="7" t="s">
        <v>16</v>
      </c>
      <c r="E1" s="7" t="s">
        <v>23</v>
      </c>
      <c r="F1" s="7" t="s">
        <v>5</v>
      </c>
      <c r="G1" s="8" t="s">
        <v>24</v>
      </c>
      <c r="H1" s="8" t="s">
        <v>20</v>
      </c>
    </row>
    <row r="2" spans="1:8" x14ac:dyDescent="0.3">
      <c r="A2" s="1">
        <v>1</v>
      </c>
      <c r="B2" s="1">
        <v>1</v>
      </c>
      <c r="C2" s="1">
        <v>1</v>
      </c>
      <c r="D2" s="1">
        <f>LN(C2)</f>
        <v>0</v>
      </c>
      <c r="E2" s="1">
        <f>B2*D2</f>
        <v>0</v>
      </c>
      <c r="F2" s="1">
        <f>B2^2</f>
        <v>1</v>
      </c>
      <c r="G2">
        <f>$B$14*EXP($B$13*B2)</f>
        <v>3.8248273895499856</v>
      </c>
      <c r="H2">
        <f>(C2-G2)^2</f>
        <v>7.9796497807517861</v>
      </c>
    </row>
    <row r="3" spans="1:8" x14ac:dyDescent="0.3">
      <c r="A3" s="1">
        <v>2</v>
      </c>
      <c r="B3" s="1">
        <v>1.25</v>
      </c>
      <c r="C3" s="1">
        <v>4.0711000000000004</v>
      </c>
      <c r="D3" s="1">
        <f t="shared" ref="D3:D10" si="0">LN(C3)</f>
        <v>1.4039132332083439</v>
      </c>
      <c r="E3" s="1">
        <f t="shared" ref="E3:E6" si="1">B3*D3</f>
        <v>1.75489154151043</v>
      </c>
      <c r="F3" s="1">
        <f t="shared" ref="F3:F6" si="2">B3^2</f>
        <v>1.5625</v>
      </c>
      <c r="G3">
        <f>$B$14*EXP($B$13*B3)</f>
        <v>5.5965920396168016</v>
      </c>
      <c r="H3">
        <f t="shared" ref="H3:H6" si="3">(C3-G3)^2</f>
        <v>2.3271259629342285</v>
      </c>
    </row>
    <row r="4" spans="1:8" x14ac:dyDescent="0.3">
      <c r="A4" s="1">
        <v>3</v>
      </c>
      <c r="B4" s="1">
        <v>1.5</v>
      </c>
      <c r="C4" s="1">
        <v>9</v>
      </c>
      <c r="D4" s="1">
        <f t="shared" si="0"/>
        <v>2.1972245773362196</v>
      </c>
      <c r="E4" s="1">
        <f t="shared" si="1"/>
        <v>3.2958368660043291</v>
      </c>
      <c r="F4" s="1">
        <f t="shared" si="2"/>
        <v>2.25</v>
      </c>
      <c r="G4">
        <f>$B$14*EXP($B$13*B4)</f>
        <v>8.1890865306701777</v>
      </c>
      <c r="H4">
        <f t="shared" si="3"/>
        <v>0.65758065474052874</v>
      </c>
    </row>
    <row r="5" spans="1:8" x14ac:dyDescent="0.3">
      <c r="A5" s="1">
        <v>4</v>
      </c>
      <c r="B5" s="1">
        <v>1.75</v>
      </c>
      <c r="C5" s="1">
        <v>16.798999999999999</v>
      </c>
      <c r="D5" s="1">
        <f t="shared" si="0"/>
        <v>2.8213193608280771</v>
      </c>
      <c r="E5" s="1">
        <f t="shared" si="1"/>
        <v>4.9373088814491348</v>
      </c>
      <c r="F5" s="1">
        <f t="shared" si="2"/>
        <v>3.0625</v>
      </c>
      <c r="G5">
        <f>$B$14*EXP($B$13*B5)</f>
        <v>11.982495370771277</v>
      </c>
      <c r="H5">
        <f t="shared" si="3"/>
        <v>23.198716843381714</v>
      </c>
    </row>
    <row r="6" spans="1:8" x14ac:dyDescent="0.3">
      <c r="A6" s="1">
        <v>5</v>
      </c>
      <c r="B6" s="1">
        <v>2</v>
      </c>
      <c r="C6" s="1">
        <v>29</v>
      </c>
      <c r="D6" s="1">
        <f t="shared" si="0"/>
        <v>3.3672958299864741</v>
      </c>
      <c r="E6" s="1">
        <f t="shared" si="1"/>
        <v>6.7345916599729483</v>
      </c>
      <c r="F6" s="1">
        <f t="shared" si="2"/>
        <v>4</v>
      </c>
      <c r="G6">
        <f>$B$14*EXP($B$13*B6)</f>
        <v>17.533114929584801</v>
      </c>
      <c r="H6">
        <f t="shared" si="3"/>
        <v>131.48945321811098</v>
      </c>
    </row>
    <row r="7" spans="1:8" x14ac:dyDescent="0.3">
      <c r="A7" s="1">
        <v>6</v>
      </c>
      <c r="B7" s="1">
        <v>2.25</v>
      </c>
      <c r="C7" s="1">
        <v>47.911700000000003</v>
      </c>
      <c r="D7" s="1">
        <f t="shared" si="0"/>
        <v>3.8693597334631793</v>
      </c>
      <c r="E7" s="1">
        <f t="shared" ref="E7:E10" si="4">B7*D7</f>
        <v>8.706059400292153</v>
      </c>
      <c r="F7" s="1">
        <f t="shared" ref="F7:F10" si="5">B7^2</f>
        <v>5.0625</v>
      </c>
      <c r="G7">
        <f t="shared" ref="G7:G9" si="6">$B$14*EXP($B$13*B7)</f>
        <v>25.654933269066003</v>
      </c>
      <c r="H7">
        <f t="shared" ref="H7:H10" si="7">(C7-G7)^2</f>
        <v>495.36366531521054</v>
      </c>
    </row>
    <row r="8" spans="1:8" x14ac:dyDescent="0.3">
      <c r="A8" s="1">
        <v>7</v>
      </c>
      <c r="B8" s="1">
        <v>2.5</v>
      </c>
      <c r="C8" s="1">
        <v>77</v>
      </c>
      <c r="D8" s="1">
        <f t="shared" si="0"/>
        <v>4.3438054218536841</v>
      </c>
      <c r="E8" s="1">
        <f t="shared" si="4"/>
        <v>10.85951355463421</v>
      </c>
      <c r="F8" s="1">
        <f t="shared" si="5"/>
        <v>6.25</v>
      </c>
      <c r="G8">
        <f t="shared" si="6"/>
        <v>37.53899998280658</v>
      </c>
      <c r="H8">
        <f t="shared" si="7"/>
        <v>1557.170522356939</v>
      </c>
    </row>
    <row r="9" spans="1:8" x14ac:dyDescent="0.3">
      <c r="A9" s="1">
        <v>8</v>
      </c>
      <c r="B9" s="1">
        <v>2.75</v>
      </c>
      <c r="C9" s="1">
        <v>121.4508</v>
      </c>
      <c r="D9" s="1">
        <f t="shared" si="0"/>
        <v>4.7995092424993562</v>
      </c>
      <c r="E9" s="1">
        <f t="shared" si="4"/>
        <v>13.19865041687323</v>
      </c>
      <c r="F9" s="1">
        <f t="shared" si="5"/>
        <v>7.5625</v>
      </c>
      <c r="G9">
        <f t="shared" si="6"/>
        <v>54.92809140954963</v>
      </c>
      <c r="H9">
        <f t="shared" si="7"/>
        <v>4425.2707582099802</v>
      </c>
    </row>
    <row r="10" spans="1:8" x14ac:dyDescent="0.3">
      <c r="A10" s="1">
        <v>9</v>
      </c>
      <c r="B10" s="1">
        <v>3</v>
      </c>
      <c r="C10" s="1">
        <v>189</v>
      </c>
      <c r="D10" s="1">
        <f t="shared" si="0"/>
        <v>5.2417470150596426</v>
      </c>
      <c r="E10" s="1">
        <f t="shared" si="4"/>
        <v>15.725241045178928</v>
      </c>
      <c r="F10" s="1">
        <f t="shared" si="5"/>
        <v>9</v>
      </c>
      <c r="G10">
        <f>$B$14*EXP($B$13*B10)</f>
        <v>80.372285550433219</v>
      </c>
      <c r="H10">
        <f t="shared" si="7"/>
        <v>11799.98034653662</v>
      </c>
    </row>
    <row r="11" spans="1:8" x14ac:dyDescent="0.3">
      <c r="A11" s="1" t="s">
        <v>3</v>
      </c>
      <c r="B11" s="3">
        <f t="shared" ref="B11:H11" si="8">SUM(B2:B6)</f>
        <v>7.5</v>
      </c>
      <c r="C11" s="3">
        <f t="shared" si="8"/>
        <v>59.870100000000001</v>
      </c>
      <c r="D11" s="3">
        <f t="shared" si="8"/>
        <v>9.7897530013591147</v>
      </c>
      <c r="E11" s="3">
        <f t="shared" si="8"/>
        <v>16.722628948936844</v>
      </c>
      <c r="F11" s="3">
        <f t="shared" si="8"/>
        <v>11.875</v>
      </c>
      <c r="G11" s="3">
        <f t="shared" si="8"/>
        <v>47.126116260193044</v>
      </c>
      <c r="H11" s="3">
        <f t="shared" si="8"/>
        <v>165.65252645991924</v>
      </c>
    </row>
    <row r="13" spans="1:8" x14ac:dyDescent="0.3">
      <c r="A13" t="s">
        <v>6</v>
      </c>
      <c r="B13">
        <f>(A10*E11-B11*D11)/(A10*F11-(B11)^2)</f>
        <v>1.5225780351652001</v>
      </c>
    </row>
    <row r="14" spans="1:8" x14ac:dyDescent="0.3">
      <c r="A14" t="s">
        <v>7</v>
      </c>
      <c r="B14">
        <f>EXP((D11-B13*B11)/A10)</f>
        <v>0.83438137596227979</v>
      </c>
    </row>
    <row r="15" spans="1:8" x14ac:dyDescent="0.3">
      <c r="A15" t="s">
        <v>25</v>
      </c>
      <c r="B15">
        <v>1.7</v>
      </c>
      <c r="C15">
        <f>B14*EXP(B13*B15)</f>
        <v>11.104139469296749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870E-AE27-4D3C-9625-3E9CC689D1B6}">
  <dimension ref="A1:H18"/>
  <sheetViews>
    <sheetView workbookViewId="0">
      <selection activeCell="C15" sqref="C15"/>
    </sheetView>
  </sheetViews>
  <sheetFormatPr baseColWidth="10" defaultRowHeight="14.4" x14ac:dyDescent="0.3"/>
  <sheetData>
    <row r="1" spans="1:8" x14ac:dyDescent="0.3">
      <c r="A1" s="1" t="s">
        <v>2</v>
      </c>
      <c r="B1" s="1" t="s">
        <v>21</v>
      </c>
      <c r="C1" s="1" t="s">
        <v>22</v>
      </c>
      <c r="G1" t="s">
        <v>26</v>
      </c>
    </row>
    <row r="2" spans="1:8" x14ac:dyDescent="0.3">
      <c r="A2" s="1">
        <v>1</v>
      </c>
      <c r="B2" s="9">
        <v>1</v>
      </c>
      <c r="C2" s="1">
        <v>1</v>
      </c>
      <c r="G2" t="s">
        <v>27</v>
      </c>
    </row>
    <row r="3" spans="1:8" x14ac:dyDescent="0.3">
      <c r="A3" s="1">
        <v>2</v>
      </c>
      <c r="B3" s="1">
        <v>1.25</v>
      </c>
      <c r="C3" s="1">
        <v>4.0711000000000004</v>
      </c>
    </row>
    <row r="4" spans="1:8" x14ac:dyDescent="0.3">
      <c r="A4" s="1">
        <v>3</v>
      </c>
      <c r="B4" s="1">
        <v>1.5</v>
      </c>
      <c r="C4" s="1">
        <v>9</v>
      </c>
    </row>
    <row r="5" spans="1:8" x14ac:dyDescent="0.3">
      <c r="A5" s="1">
        <v>4</v>
      </c>
      <c r="B5" s="1">
        <v>1.75</v>
      </c>
      <c r="C5" s="1">
        <v>16.798999999999999</v>
      </c>
    </row>
    <row r="6" spans="1:8" x14ac:dyDescent="0.3">
      <c r="A6" s="1">
        <v>5</v>
      </c>
      <c r="B6" s="1">
        <v>2</v>
      </c>
      <c r="C6" s="1">
        <v>29</v>
      </c>
    </row>
    <row r="7" spans="1:8" x14ac:dyDescent="0.3">
      <c r="A7" s="3">
        <v>6</v>
      </c>
      <c r="B7" s="3">
        <v>2.25</v>
      </c>
      <c r="C7" s="3">
        <v>47.911700000000003</v>
      </c>
    </row>
    <row r="8" spans="1:8" x14ac:dyDescent="0.3">
      <c r="A8" s="3">
        <v>7</v>
      </c>
      <c r="B8" s="3">
        <v>2.5</v>
      </c>
      <c r="C8" s="3">
        <v>77</v>
      </c>
    </row>
    <row r="9" spans="1:8" x14ac:dyDescent="0.3">
      <c r="A9" s="3">
        <v>8</v>
      </c>
      <c r="B9" s="3">
        <v>2.75</v>
      </c>
      <c r="C9" s="3">
        <v>121.4508</v>
      </c>
    </row>
    <row r="10" spans="1:8" x14ac:dyDescent="0.3">
      <c r="A10" s="1">
        <v>9</v>
      </c>
      <c r="B10" s="1">
        <v>3</v>
      </c>
      <c r="C10" s="1">
        <v>189</v>
      </c>
    </row>
    <row r="13" spans="1:8" x14ac:dyDescent="0.3">
      <c r="B13" t="s">
        <v>25</v>
      </c>
      <c r="C13">
        <v>2.6</v>
      </c>
    </row>
    <row r="14" spans="1:8" x14ac:dyDescent="0.3">
      <c r="B14" t="s">
        <v>28</v>
      </c>
      <c r="G14" t="s">
        <v>29</v>
      </c>
      <c r="H14">
        <f>SUMPRODUCT(C16:E16,C18:E18)</f>
        <v>0.55999999999999939</v>
      </c>
    </row>
    <row r="15" spans="1:8" x14ac:dyDescent="0.3">
      <c r="C15" s="3" t="s">
        <v>30</v>
      </c>
      <c r="D15" s="3" t="s">
        <v>31</v>
      </c>
      <c r="E15" s="3" t="s">
        <v>32</v>
      </c>
    </row>
    <row r="16" spans="1:8" x14ac:dyDescent="0.3">
      <c r="C16" s="1">
        <f>PRODUCT(C13-B8,C13-B9)/PRODUCT(B7-B8,B7-B9)</f>
        <v>-0.12000000000000004</v>
      </c>
      <c r="D16">
        <f>PRODUCT(C13-B7,C13-B9)/PRODUCT(B8-B7,B8-B9)</f>
        <v>0.83999999999999975</v>
      </c>
      <c r="E16" s="1">
        <f>PRODUCT(C13-B7,C13-B8)/PRODUCT(B9-B7,B9-B8)</f>
        <v>0.2800000000000003</v>
      </c>
    </row>
    <row r="17" spans="3:5" x14ac:dyDescent="0.3">
      <c r="C17" s="3" t="s">
        <v>33</v>
      </c>
      <c r="D17" s="3" t="s">
        <v>34</v>
      </c>
      <c r="E17" s="3" t="s">
        <v>35</v>
      </c>
    </row>
    <row r="18" spans="3:5" x14ac:dyDescent="0.3">
      <c r="C18" s="1">
        <v>0</v>
      </c>
      <c r="D18" s="1">
        <v>1</v>
      </c>
      <c r="E18" s="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lineal</vt:lpstr>
      <vt:lpstr>potencial</vt:lpstr>
      <vt:lpstr>exponencial</vt:lpstr>
      <vt:lpstr>simulacro</vt:lpstr>
      <vt:lpstr>simu_potencial</vt:lpstr>
      <vt:lpstr>simu_exp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ezemolina06@gmail.com</dc:creator>
  <cp:lastModifiedBy>ezemolina06@gmail.com</cp:lastModifiedBy>
  <dcterms:created xsi:type="dcterms:W3CDTF">2025-11-03T13:07:08Z</dcterms:created>
  <dcterms:modified xsi:type="dcterms:W3CDTF">2025-12-11T13:41:34Z</dcterms:modified>
</cp:coreProperties>
</file>