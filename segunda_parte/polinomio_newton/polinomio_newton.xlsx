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equiel\Desktop\UP\Calculo numerico\Codigo\segunda_parte\polinomio_newton\"/>
    </mc:Choice>
  </mc:AlternateContent>
  <xr:revisionPtr revIDLastSave="0" documentId="8_{3004AC33-4505-4930-A016-9E7BDCBDB8AD}" xr6:coauthVersionLast="47" xr6:coauthVersionMax="47" xr10:uidLastSave="{00000000-0000-0000-0000-000000000000}"/>
  <bookViews>
    <workbookView xWindow="-108" yWindow="-108" windowWidth="23256" windowHeight="13896" activeTab="1" xr2:uid="{58034E83-6D5D-4892-B63A-A0F35097CCA0}"/>
  </bookViews>
  <sheets>
    <sheet name="Polin newton 1" sheetId="1" r:id="rId1"/>
    <sheet name="pol newton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3" i="2"/>
  <c r="D12" i="2"/>
  <c r="D13" i="2"/>
  <c r="D14" i="2"/>
  <c r="D11" i="2"/>
  <c r="F10" i="2"/>
  <c r="B14" i="2"/>
  <c r="F11" i="2"/>
  <c r="C14" i="2"/>
  <c r="C13" i="2"/>
  <c r="C12" i="2"/>
  <c r="C11" i="2"/>
  <c r="B13" i="2"/>
  <c r="B12" i="2"/>
  <c r="C3" i="2"/>
  <c r="C4" i="2"/>
  <c r="C5" i="2"/>
  <c r="C6" i="2"/>
  <c r="C7" i="2"/>
  <c r="C2" i="2"/>
  <c r="D3" i="2" s="1"/>
  <c r="D7" i="2"/>
  <c r="D6" i="2"/>
  <c r="D5" i="2"/>
  <c r="D4" i="2"/>
  <c r="D12" i="1"/>
  <c r="D13" i="1"/>
  <c r="D14" i="1"/>
  <c r="D11" i="1"/>
  <c r="C14" i="1"/>
  <c r="C13" i="1"/>
  <c r="C12" i="1"/>
  <c r="C11" i="1"/>
  <c r="B13" i="1"/>
  <c r="B14" i="1" s="1"/>
  <c r="B15" i="1" s="1"/>
  <c r="B12" i="1"/>
  <c r="E5" i="1"/>
  <c r="D5" i="1"/>
  <c r="D4" i="1"/>
  <c r="C4" i="1"/>
  <c r="C5" i="1"/>
  <c r="C6" i="1"/>
  <c r="D6" i="1" s="1"/>
  <c r="E6" i="1" s="1"/>
  <c r="F6" i="1" s="1"/>
  <c r="C15" i="1" s="1"/>
  <c r="D15" i="1" s="1"/>
  <c r="C3" i="1"/>
  <c r="G11" i="1" l="1"/>
  <c r="E7" i="2"/>
  <c r="E6" i="2"/>
  <c r="E5" i="2"/>
  <c r="E4" i="2"/>
  <c r="F5" i="2"/>
  <c r="F6" i="2" l="1"/>
  <c r="G6" i="2" s="1"/>
  <c r="F7" i="2"/>
  <c r="G7" i="2" s="1"/>
  <c r="H7" i="2" s="1"/>
</calcChain>
</file>

<file path=xl/sharedStrings.xml><?xml version="1.0" encoding="utf-8"?>
<sst xmlns="http://schemas.openxmlformats.org/spreadsheetml/2006/main" count="34" uniqueCount="28">
  <si>
    <t>xi</t>
  </si>
  <si>
    <t>f(xi)</t>
  </si>
  <si>
    <t>delta1</t>
  </si>
  <si>
    <t>delta2</t>
  </si>
  <si>
    <t>delta3</t>
  </si>
  <si>
    <t>delta4</t>
  </si>
  <si>
    <t>P(4)=-5+2(x-0)-4(x-0)(x-1)+8(x-0)(x-1)(x+1)+3,75(x-0)(x-1)(x+1)(x-2)</t>
  </si>
  <si>
    <t>x=</t>
  </si>
  <si>
    <t>Calculando los valores entre parentesis que multiplican a los factores</t>
  </si>
  <si>
    <t>P(1,4)=</t>
  </si>
  <si>
    <t>Coeficientes</t>
  </si>
  <si>
    <t>Coeficientes*multiplicador</t>
  </si>
  <si>
    <t>delta5</t>
  </si>
  <si>
    <t>log(x)</t>
  </si>
  <si>
    <t>b)elegir los puntos mas convenientes para calcular log(2,5) con un polinomio newton de grado 3</t>
  </si>
  <si>
    <t>c)calcule el error</t>
  </si>
  <si>
    <t>Para un polinomio grado 3 necesito 4 puntos nomas. LO MEJOR ES QUE EL QUE QUEREMOS CALCULAR QUEDE CENTRADO</t>
  </si>
  <si>
    <t>Por eso elegimos del 1,5 al 3.5 =&gt; (1.5, 2, 2.5, 3, 3.5)</t>
  </si>
  <si>
    <t>x0</t>
  </si>
  <si>
    <t>x1</t>
  </si>
  <si>
    <t>x2</t>
  </si>
  <si>
    <t>x3</t>
  </si>
  <si>
    <t>P(2.5)=</t>
  </si>
  <si>
    <t>Er=</t>
  </si>
  <si>
    <t>Ea=</t>
  </si>
  <si>
    <t>Valor que deberia ser</t>
  </si>
  <si>
    <t>log(2.5)=</t>
  </si>
  <si>
    <t>Valor que 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</si>
</sst>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E63F-D590-4887-BFA8-74CAA71B43BE}">
  <dimension ref="A1:G15"/>
  <sheetViews>
    <sheetView workbookViewId="0">
      <selection activeCell="F11" sqref="F11"/>
    </sheetView>
  </sheetViews>
  <sheetFormatPr baseColWidth="10" defaultRowHeight="14.4" x14ac:dyDescent="0.3"/>
  <cols>
    <col min="1" max="1" width="17" customWidth="1"/>
    <col min="6" max="6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">
      <c r="A2" s="1">
        <v>0</v>
      </c>
      <c r="B2" s="2">
        <v>-5</v>
      </c>
      <c r="C2" s="1"/>
      <c r="D2" s="1"/>
      <c r="E2" s="1"/>
      <c r="F2" s="1"/>
    </row>
    <row r="3" spans="1:7" x14ac:dyDescent="0.3">
      <c r="A3" s="1">
        <v>1</v>
      </c>
      <c r="B3" s="1">
        <v>-3</v>
      </c>
      <c r="C3" s="2">
        <f>(B3-B2)/(A3-A2)</f>
        <v>2</v>
      </c>
      <c r="D3" s="1"/>
      <c r="E3" s="1"/>
      <c r="F3" s="1"/>
    </row>
    <row r="4" spans="1:7" x14ac:dyDescent="0.3">
      <c r="A4" s="1">
        <v>-1</v>
      </c>
      <c r="B4" s="1">
        <v>-15</v>
      </c>
      <c r="C4" s="1">
        <f t="shared" ref="C4:C6" si="0">(B4-B3)/(A4-A3)</f>
        <v>6</v>
      </c>
      <c r="D4" s="2">
        <f>(C4-C3)/(A4-A2)</f>
        <v>-4</v>
      </c>
      <c r="E4" s="1"/>
      <c r="F4" s="1"/>
    </row>
    <row r="5" spans="1:7" x14ac:dyDescent="0.3">
      <c r="A5" s="1">
        <v>2</v>
      </c>
      <c r="B5" s="1">
        <v>39</v>
      </c>
      <c r="C5" s="1">
        <f t="shared" si="0"/>
        <v>18</v>
      </c>
      <c r="D5" s="1">
        <f t="shared" ref="D5:D6" si="1">(C5-C4)/(A5-A3)</f>
        <v>12</v>
      </c>
      <c r="E5" s="2">
        <f>(D5-D4)/(A5-A2)</f>
        <v>8</v>
      </c>
      <c r="F5" s="1"/>
    </row>
    <row r="6" spans="1:7" x14ac:dyDescent="0.3">
      <c r="A6" s="1">
        <v>-2</v>
      </c>
      <c r="B6" s="1">
        <v>-9</v>
      </c>
      <c r="C6" s="1">
        <f t="shared" si="0"/>
        <v>12</v>
      </c>
      <c r="D6" s="1">
        <f t="shared" si="1"/>
        <v>6</v>
      </c>
      <c r="E6" s="1">
        <f>(D6-D5)/(A6-A3)</f>
        <v>2</v>
      </c>
      <c r="F6" s="2">
        <f>(E6-E5)/(A6-A2)</f>
        <v>3</v>
      </c>
    </row>
    <row r="8" spans="1:7" x14ac:dyDescent="0.3">
      <c r="A8" t="s">
        <v>6</v>
      </c>
    </row>
    <row r="9" spans="1:7" x14ac:dyDescent="0.3">
      <c r="A9" t="s">
        <v>8</v>
      </c>
    </row>
    <row r="10" spans="1:7" x14ac:dyDescent="0.3">
      <c r="A10" t="s">
        <v>7</v>
      </c>
      <c r="B10">
        <v>1.4</v>
      </c>
      <c r="C10" t="s">
        <v>10</v>
      </c>
      <c r="D10" t="s">
        <v>11</v>
      </c>
    </row>
    <row r="11" spans="1:7" x14ac:dyDescent="0.3">
      <c r="B11" s="5">
        <v>1</v>
      </c>
      <c r="C11">
        <f>B2</f>
        <v>-5</v>
      </c>
      <c r="D11">
        <f>B11*C11</f>
        <v>-5</v>
      </c>
      <c r="F11" t="s">
        <v>9</v>
      </c>
      <c r="G11">
        <f>SUM(D11:D15)</f>
        <v>3.892799999999998</v>
      </c>
    </row>
    <row r="12" spans="1:7" x14ac:dyDescent="0.3">
      <c r="B12">
        <f>B10-A2</f>
        <v>1.4</v>
      </c>
      <c r="C12">
        <f>C3</f>
        <v>2</v>
      </c>
      <c r="D12">
        <f t="shared" ref="D12:D15" si="2">B12*C12</f>
        <v>2.8</v>
      </c>
    </row>
    <row r="13" spans="1:7" x14ac:dyDescent="0.3">
      <c r="B13">
        <f>B12*(B10-A3)</f>
        <v>0.55999999999999983</v>
      </c>
      <c r="C13">
        <f>D4</f>
        <v>-4</v>
      </c>
      <c r="D13">
        <f t="shared" si="2"/>
        <v>-2.2399999999999993</v>
      </c>
    </row>
    <row r="14" spans="1:7" x14ac:dyDescent="0.3">
      <c r="B14">
        <f>B13*(B10-A4)</f>
        <v>1.3439999999999996</v>
      </c>
      <c r="C14">
        <f>E5</f>
        <v>8</v>
      </c>
      <c r="D14">
        <f t="shared" si="2"/>
        <v>10.751999999999997</v>
      </c>
    </row>
    <row r="15" spans="1:7" x14ac:dyDescent="0.3">
      <c r="B15">
        <f>B14*(B10-A5)</f>
        <v>-0.80639999999999989</v>
      </c>
      <c r="C15">
        <f>F6</f>
        <v>3</v>
      </c>
      <c r="D15">
        <f t="shared" si="2"/>
        <v>-2.4191999999999996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2659-490E-4CD7-B372-E62E0AB6A83B}">
  <dimension ref="A1:J14"/>
  <sheetViews>
    <sheetView tabSelected="1" workbookViewId="0">
      <selection activeCell="J11" sqref="J11"/>
    </sheetView>
  </sheetViews>
  <sheetFormatPr baseColWidth="10" defaultRowHeight="14.4" x14ac:dyDescent="0.3"/>
  <sheetData>
    <row r="1" spans="1:10" x14ac:dyDescent="0.3">
      <c r="B1" s="1" t="s">
        <v>0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12</v>
      </c>
    </row>
    <row r="2" spans="1:10" x14ac:dyDescent="0.3">
      <c r="B2" s="1">
        <v>1</v>
      </c>
      <c r="C2" s="3">
        <f>LOG(B2)</f>
        <v>0</v>
      </c>
      <c r="D2" s="3"/>
      <c r="E2" s="3"/>
      <c r="F2" s="3"/>
      <c r="G2" s="3"/>
      <c r="H2" s="3"/>
      <c r="I2" s="4" t="s">
        <v>14</v>
      </c>
    </row>
    <row r="3" spans="1:10" x14ac:dyDescent="0.3">
      <c r="A3" t="s">
        <v>18</v>
      </c>
      <c r="B3" s="1">
        <v>1.5</v>
      </c>
      <c r="C3" s="2">
        <f t="shared" ref="C3:C7" si="0">LOG(B3)</f>
        <v>0.17609125905568124</v>
      </c>
      <c r="D3" s="3">
        <f>(C3-C2)/(B3-B2)</f>
        <v>0.35218251811136247</v>
      </c>
      <c r="E3" s="3"/>
      <c r="F3" s="3"/>
      <c r="G3" s="3"/>
      <c r="H3" s="3"/>
      <c r="I3" s="4"/>
      <c r="J3" t="s">
        <v>16</v>
      </c>
    </row>
    <row r="4" spans="1:10" x14ac:dyDescent="0.3">
      <c r="A4" t="s">
        <v>19</v>
      </c>
      <c r="B4" s="1">
        <v>2</v>
      </c>
      <c r="C4" s="3">
        <f t="shared" si="0"/>
        <v>0.3010299956639812</v>
      </c>
      <c r="D4" s="2">
        <f t="shared" ref="D4:D6" si="1">(C4-C3)/(B4-B3)</f>
        <v>0.24987747321659992</v>
      </c>
      <c r="E4" s="3">
        <f>(D4-D3)/(B4-B2)</f>
        <v>-0.10230504489476255</v>
      </c>
      <c r="F4" s="3"/>
      <c r="G4" s="3"/>
      <c r="H4" s="3"/>
      <c r="I4" s="4"/>
      <c r="J4" t="s">
        <v>17</v>
      </c>
    </row>
    <row r="5" spans="1:10" x14ac:dyDescent="0.3">
      <c r="A5" t="s">
        <v>20</v>
      </c>
      <c r="B5" s="1">
        <v>3</v>
      </c>
      <c r="C5" s="3">
        <f t="shared" si="0"/>
        <v>0.47712125471966244</v>
      </c>
      <c r="D5" s="3">
        <f t="shared" si="1"/>
        <v>0.17609125905568124</v>
      </c>
      <c r="E5" s="2">
        <f t="shared" ref="E5:E6" si="2">(D5-D4)/(B5-B3)</f>
        <v>-4.9190809440612458E-2</v>
      </c>
      <c r="F5" s="3">
        <f>(E5-E4)/(B5-B2)</f>
        <v>2.6557117727075048E-2</v>
      </c>
      <c r="G5" s="3"/>
      <c r="H5" s="3"/>
      <c r="I5" s="4" t="s">
        <v>15</v>
      </c>
    </row>
    <row r="6" spans="1:10" x14ac:dyDescent="0.3">
      <c r="A6" t="s">
        <v>21</v>
      </c>
      <c r="B6" s="1">
        <v>3.5</v>
      </c>
      <c r="C6" s="3">
        <f t="shared" si="0"/>
        <v>0.54406804435027567</v>
      </c>
      <c r="D6" s="3">
        <f t="shared" si="1"/>
        <v>0.13389357926122647</v>
      </c>
      <c r="E6" s="3">
        <f t="shared" si="2"/>
        <v>-2.8131786529636511E-2</v>
      </c>
      <c r="F6" s="2">
        <f>(E6-E5)/(B6-B3)</f>
        <v>1.0529511455487974E-2</v>
      </c>
      <c r="G6" s="3">
        <f>(F6-F5)/(B6-B2)</f>
        <v>-6.4110425086348292E-3</v>
      </c>
      <c r="H6" s="3"/>
      <c r="I6" s="4"/>
    </row>
    <row r="7" spans="1:10" x14ac:dyDescent="0.3">
      <c r="B7" s="3">
        <v>4</v>
      </c>
      <c r="C7" s="3">
        <f t="shared" si="0"/>
        <v>0.6020599913279624</v>
      </c>
      <c r="D7" s="3">
        <f t="shared" ref="D7" si="3">(C7-C6)/(B7-B6)</f>
        <v>0.11598389395537345</v>
      </c>
      <c r="E7" s="3">
        <f t="shared" ref="E7" si="4">(D7-D6)/(B7-B5)</f>
        <v>-1.7909685305853018E-2</v>
      </c>
      <c r="F7" s="3">
        <f>(E7-E6)/(B7-B4)</f>
        <v>5.1110506118917463E-3</v>
      </c>
      <c r="G7" s="3">
        <f>(F7-F6)/(B7-B3)</f>
        <v>-2.1673843374384908E-3</v>
      </c>
      <c r="H7" s="3">
        <f>(G7-G6)/(C7-C2)</f>
        <v>7.0485636519977204E-3</v>
      </c>
      <c r="I7" s="4"/>
    </row>
    <row r="9" spans="1:10" x14ac:dyDescent="0.3">
      <c r="A9" t="s">
        <v>7</v>
      </c>
      <c r="B9">
        <v>2.5</v>
      </c>
    </row>
    <row r="10" spans="1:10" x14ac:dyDescent="0.3">
      <c r="E10" t="s">
        <v>22</v>
      </c>
      <c r="F10">
        <f>SUM(D11:D14)</f>
        <v>0.39874094968810292</v>
      </c>
      <c r="G10" t="s">
        <v>27</v>
      </c>
    </row>
    <row r="11" spans="1:10" x14ac:dyDescent="0.3">
      <c r="B11" s="5">
        <v>1</v>
      </c>
      <c r="C11">
        <f>C3</f>
        <v>0.17609125905568124</v>
      </c>
      <c r="D11">
        <f>C11*B11</f>
        <v>0.17609125905568124</v>
      </c>
      <c r="E11" t="s">
        <v>26</v>
      </c>
      <c r="F11">
        <f>LOG(B9,10)</f>
        <v>0.3979400086720376</v>
      </c>
      <c r="G11" t="s">
        <v>25</v>
      </c>
    </row>
    <row r="12" spans="1:10" x14ac:dyDescent="0.3">
      <c r="B12">
        <f>B9-B3</f>
        <v>1</v>
      </c>
      <c r="C12">
        <f>D4</f>
        <v>0.24987747321659992</v>
      </c>
      <c r="D12">
        <f t="shared" ref="D12:D14" si="5">C12*B12</f>
        <v>0.24987747321659992</v>
      </c>
      <c r="E12" t="s">
        <v>24</v>
      </c>
      <c r="F12">
        <f>F11-F10</f>
        <v>-8.009410160653152E-4</v>
      </c>
    </row>
    <row r="13" spans="1:10" x14ac:dyDescent="0.3">
      <c r="B13">
        <f>B12*(B9-B4)</f>
        <v>0.5</v>
      </c>
      <c r="C13">
        <f>E5</f>
        <v>-4.9190809440612458E-2</v>
      </c>
      <c r="D13">
        <f t="shared" si="5"/>
        <v>-2.4595404720306229E-2</v>
      </c>
      <c r="E13" t="s">
        <v>23</v>
      </c>
      <c r="F13">
        <f>ABS((F11-F10)/F11)</f>
        <v>2.0127179941974898E-3</v>
      </c>
    </row>
    <row r="14" spans="1:10" x14ac:dyDescent="0.3">
      <c r="B14">
        <f>B13*(B9-B5)</f>
        <v>-0.25</v>
      </c>
      <c r="C14">
        <f>F6</f>
        <v>1.0529511455487974E-2</v>
      </c>
      <c r="D14">
        <f t="shared" si="5"/>
        <v>-2.6323778638719935E-3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Polin newton 1</vt:lpstr>
      <vt:lpstr>pol newton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ezemolina06@gmail.com</dc:creator>
  <cp:lastModifiedBy>ezemolina06@gmail.com</cp:lastModifiedBy>
  <dcterms:created xsi:type="dcterms:W3CDTF">2025-11-01T20:51:08Z</dcterms:created>
  <dcterms:modified xsi:type="dcterms:W3CDTF">2025-11-01T21:49:37Z</dcterms:modified>
</cp:coreProperties>
</file>