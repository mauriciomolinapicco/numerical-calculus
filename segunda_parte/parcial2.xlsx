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zequiel\Downloads\"/>
    </mc:Choice>
  </mc:AlternateContent>
  <xr:revisionPtr revIDLastSave="0" documentId="13_ncr:1_{13D86532-9834-4662-B736-2F636031BC2F}" xr6:coauthVersionLast="47" xr6:coauthVersionMax="47" xr10:uidLastSave="{00000000-0000-0000-0000-000000000000}"/>
  <bookViews>
    <workbookView xWindow="-38505" yWindow="0" windowWidth="19410" windowHeight="20985" activeTab="2" xr2:uid="{00000000-000D-0000-FFFF-FFFF00000000}"/>
  </bookViews>
  <sheets>
    <sheet name="2.TRAPECIO" sheetId="1" r:id="rId1"/>
    <sheet name="1.NEWTON" sheetId="2" r:id="rId2"/>
    <sheet name="1.NEWTON evaluando en 0" sheetId="4" r:id="rId3"/>
    <sheet name="3.POTENCIAL" sheetId="5" r:id="rId4"/>
    <sheet name="3.EXP" sheetId="6" r:id="rId5"/>
    <sheet name="3.LINEAL" sheetId="7" r:id="rId6"/>
    <sheet name="1.LAGRANGE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C13" i="4"/>
  <c r="C12" i="4"/>
  <c r="C11" i="4"/>
  <c r="D11" i="4" s="1"/>
  <c r="B12" i="4"/>
  <c r="B13" i="4" s="1"/>
  <c r="B14" i="4" s="1"/>
  <c r="G11" i="4"/>
  <c r="D6" i="4"/>
  <c r="D5" i="4"/>
  <c r="E6" i="4" s="1"/>
  <c r="D4" i="4"/>
  <c r="E4" i="4" s="1"/>
  <c r="D3" i="4"/>
  <c r="I3" i="5"/>
  <c r="I4" i="5"/>
  <c r="I5" i="5"/>
  <c r="I6" i="5"/>
  <c r="I2" i="5"/>
  <c r="B10" i="7"/>
  <c r="B9" i="7"/>
  <c r="C7" i="7"/>
  <c r="B7" i="7"/>
  <c r="E6" i="7"/>
  <c r="D6" i="7"/>
  <c r="E5" i="7"/>
  <c r="D5" i="7"/>
  <c r="E4" i="7"/>
  <c r="D4" i="7"/>
  <c r="E3" i="7"/>
  <c r="D3" i="7"/>
  <c r="E2" i="7"/>
  <c r="E7" i="7" s="1"/>
  <c r="D2" i="7"/>
  <c r="D7" i="7" s="1"/>
  <c r="C7" i="6"/>
  <c r="B7" i="6"/>
  <c r="F6" i="6"/>
  <c r="D6" i="6"/>
  <c r="E6" i="6" s="1"/>
  <c r="F5" i="6"/>
  <c r="D5" i="6"/>
  <c r="E5" i="6" s="1"/>
  <c r="F4" i="6"/>
  <c r="D4" i="6"/>
  <c r="E4" i="6" s="1"/>
  <c r="F3" i="6"/>
  <c r="D3" i="6"/>
  <c r="D7" i="6" s="1"/>
  <c r="F2" i="6"/>
  <c r="D2" i="6"/>
  <c r="E2" i="6" s="1"/>
  <c r="H3" i="5"/>
  <c r="H4" i="5"/>
  <c r="H5" i="5"/>
  <c r="H6" i="5"/>
  <c r="H2" i="5"/>
  <c r="B11" i="5"/>
  <c r="B10" i="5"/>
  <c r="E7" i="5"/>
  <c r="F7" i="5"/>
  <c r="G7" i="5"/>
  <c r="D7" i="5"/>
  <c r="D3" i="5"/>
  <c r="E3" i="5"/>
  <c r="F3" i="5" s="1"/>
  <c r="G3" i="5"/>
  <c r="D4" i="5"/>
  <c r="F4" i="5" s="1"/>
  <c r="E4" i="5"/>
  <c r="G4" i="5"/>
  <c r="D5" i="5"/>
  <c r="F5" i="5" s="1"/>
  <c r="E5" i="5"/>
  <c r="G5" i="5"/>
  <c r="D6" i="5"/>
  <c r="E6" i="5"/>
  <c r="F6" i="5" s="1"/>
  <c r="G6" i="5"/>
  <c r="E2" i="5"/>
  <c r="D2" i="5"/>
  <c r="G2" i="5"/>
  <c r="D12" i="4" l="1"/>
  <c r="E5" i="4"/>
  <c r="F6" i="4" s="1"/>
  <c r="I7" i="5"/>
  <c r="F7" i="6"/>
  <c r="E3" i="6"/>
  <c r="E7" i="6" s="1"/>
  <c r="B9" i="6" s="1"/>
  <c r="B10" i="6" s="1"/>
  <c r="F2" i="5"/>
  <c r="D14" i="4" l="1"/>
  <c r="F5" i="4"/>
  <c r="G6" i="4" s="1"/>
  <c r="D13" i="4"/>
  <c r="G10" i="4" s="1"/>
  <c r="G5" i="6"/>
  <c r="H5" i="6" s="1"/>
  <c r="G4" i="6"/>
  <c r="H4" i="6" s="1"/>
  <c r="G3" i="6"/>
  <c r="H3" i="6" s="1"/>
  <c r="G2" i="6"/>
  <c r="G6" i="6"/>
  <c r="H6" i="6" s="1"/>
  <c r="G12" i="4" l="1"/>
  <c r="G13" i="4"/>
  <c r="H2" i="6"/>
  <c r="H7" i="6" s="1"/>
  <c r="G7" i="6"/>
  <c r="E5" i="1" l="1"/>
  <c r="H12" i="3"/>
  <c r="E13" i="3"/>
  <c r="D13" i="3"/>
  <c r="C13" i="3"/>
  <c r="H11" i="3" s="1"/>
  <c r="E15" i="3"/>
  <c r="D15" i="3"/>
  <c r="C15" i="3"/>
  <c r="G12" i="2"/>
  <c r="G11" i="2"/>
  <c r="B14" i="2"/>
  <c r="G10" i="2"/>
  <c r="F6" i="2"/>
  <c r="B12" i="2"/>
  <c r="B13" i="2" s="1"/>
  <c r="A7" i="1"/>
  <c r="B4" i="1"/>
  <c r="E3" i="1"/>
  <c r="E11" i="1" s="1"/>
  <c r="H14" i="3" l="1"/>
  <c r="H13" i="3"/>
  <c r="D6" i="2"/>
  <c r="D5" i="2"/>
  <c r="D4" i="2"/>
  <c r="C12" i="2" s="1"/>
  <c r="D12" i="2" s="1"/>
  <c r="D3" i="2"/>
  <c r="C11" i="2"/>
  <c r="D11" i="2" s="1"/>
  <c r="E6" i="2" l="1"/>
  <c r="E5" i="2"/>
  <c r="E4" i="2"/>
  <c r="C13" i="2"/>
  <c r="D13" i="2" s="1"/>
  <c r="F5" i="2"/>
  <c r="C14" i="2" l="1"/>
  <c r="D14" i="2" s="1"/>
  <c r="G6" i="2"/>
  <c r="G13" i="2" l="1"/>
  <c r="G2" i="7" l="1"/>
  <c r="H2" i="7" s="1"/>
  <c r="G6" i="7"/>
  <c r="H6" i="7" s="1"/>
  <c r="G5" i="7"/>
  <c r="H5" i="7" s="1"/>
  <c r="G3" i="7"/>
  <c r="H3" i="7" s="1"/>
  <c r="G4" i="7"/>
  <c r="H4" i="7" s="1"/>
  <c r="H7" i="7" l="1"/>
</calcChain>
</file>

<file path=xl/sharedStrings.xml><?xml version="1.0" encoding="utf-8"?>
<sst xmlns="http://schemas.openxmlformats.org/spreadsheetml/2006/main" count="116" uniqueCount="70">
  <si>
    <t>a=</t>
  </si>
  <si>
    <t>b=</t>
  </si>
  <si>
    <t>|f''(x)| &lt;=</t>
  </si>
  <si>
    <t>n=</t>
  </si>
  <si>
    <t>E</t>
  </si>
  <si>
    <t>h=</t>
  </si>
  <si>
    <t>T(f,p)=</t>
  </si>
  <si>
    <t>&lt;- valor aproximado de la integral</t>
  </si>
  <si>
    <t>xi</t>
  </si>
  <si>
    <t>f(xi)</t>
  </si>
  <si>
    <t>Ea=</t>
  </si>
  <si>
    <t xml:space="preserve"> -1/12 * (b-a)*h^2*f''(x)</t>
  </si>
  <si>
    <t>Despejando n</t>
  </si>
  <si>
    <t xml:space="preserve"> -1/12 * (b-a)*((b-a)/n)^2*f''(x)</t>
  </si>
  <si>
    <t>Resultado</t>
  </si>
  <si>
    <t>delta1</t>
  </si>
  <si>
    <t>delta2</t>
  </si>
  <si>
    <t>delta3</t>
  </si>
  <si>
    <t>delta4</t>
  </si>
  <si>
    <t>delta5</t>
  </si>
  <si>
    <t>x0</t>
  </si>
  <si>
    <t>x1</t>
  </si>
  <si>
    <t>x2</t>
  </si>
  <si>
    <t>x3</t>
  </si>
  <si>
    <t>x=</t>
  </si>
  <si>
    <t>Valor que dio</t>
  </si>
  <si>
    <t>Valor que deberia ser</t>
  </si>
  <si>
    <t>Er=</t>
  </si>
  <si>
    <t>Y</t>
  </si>
  <si>
    <t>Para un polinomio grado 3 necesito 4 puntos nomas</t>
  </si>
  <si>
    <t>P(1,67)=</t>
  </si>
  <si>
    <t>f(1,67)=</t>
  </si>
  <si>
    <t>Para el punto x=1,67 elegimos los puntos 0,5-1-1,5-2</t>
  </si>
  <si>
    <t>Expresando en forma generica</t>
  </si>
  <si>
    <t>P3(x)= -3,9393 + 3,8786(x - 0,5) + 2,84(x-0,5)(x-1) + 1,129733(x-0,5)(x-1)(x-1,5)</t>
  </si>
  <si>
    <t>i</t>
  </si>
  <si>
    <t>x</t>
  </si>
  <si>
    <t>y</t>
  </si>
  <si>
    <t>L20</t>
  </si>
  <si>
    <t>L21</t>
  </si>
  <si>
    <t>L22</t>
  </si>
  <si>
    <t>y0</t>
  </si>
  <si>
    <t>y1</t>
  </si>
  <si>
    <t>y2</t>
  </si>
  <si>
    <t>Para el punto x=1,67 elegimos los puntos 1-1,5-2</t>
  </si>
  <si>
    <t>Necesitamos elegir 3 puntos (grado 2)</t>
  </si>
  <si>
    <t>P2(1,67)=</t>
  </si>
  <si>
    <t>LAGRANGE</t>
  </si>
  <si>
    <t>yi</t>
  </si>
  <si>
    <t>ln xi</t>
  </si>
  <si>
    <t>ln yi</t>
  </si>
  <si>
    <t>ln xi* ln yi</t>
  </si>
  <si>
    <t>(ln xi)^2</t>
  </si>
  <si>
    <t>P(xi) funcion!</t>
  </si>
  <si>
    <t>EC</t>
  </si>
  <si>
    <t>Sumas</t>
  </si>
  <si>
    <t>xi * ln yi</t>
  </si>
  <si>
    <t>xi^2</t>
  </si>
  <si>
    <t>p(xi)</t>
  </si>
  <si>
    <t>xi * yi</t>
  </si>
  <si>
    <t xml:space="preserve">Cuando ya </t>
  </si>
  <si>
    <t>P(x)</t>
  </si>
  <si>
    <t>Error cuadratico</t>
  </si>
  <si>
    <t>tenemos</t>
  </si>
  <si>
    <t>a y b hacemo</t>
  </si>
  <si>
    <t>la formula</t>
  </si>
  <si>
    <t>Ec=</t>
  </si>
  <si>
    <t>LINEAL ES EL QUE MENOR ERROR NOS DA COMPARANDO CON EXPONENCIAL Y POTENCIAL</t>
  </si>
  <si>
    <t>Me traigo la planilla de 1.NEWTON y le cambio los puntos y la raiz</t>
  </si>
  <si>
    <t>EJERCICIO D - EVALUANDO PARA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</si>
</sst>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3" borderId="1" xfId="0" applyFill="1" applyBorder="1"/>
    <xf numFmtId="0" fontId="0" fillId="4" borderId="0" xfId="0" applyFill="1"/>
    <xf numFmtId="0" fontId="0" fillId="3" borderId="0" xfId="0" applyFill="1"/>
    <xf numFmtId="0" fontId="0" fillId="0" borderId="0" xfId="0" applyBorder="1"/>
    <xf numFmtId="0" fontId="0" fillId="2" borderId="1" xfId="0" applyFill="1" applyBorder="1"/>
    <xf numFmtId="0" fontId="0" fillId="4" borderId="1" xfId="0" applyFill="1" applyBorder="1"/>
    <xf numFmtId="0" fontId="0" fillId="5" borderId="0" xfId="0" applyFill="1"/>
    <xf numFmtId="0" fontId="0" fillId="0" borderId="1" xfId="0" applyFill="1" applyBorder="1"/>
    <xf numFmtId="0" fontId="0" fillId="0" borderId="0" xfId="0" applyFill="1" applyBorder="1"/>
    <xf numFmtId="0" fontId="0" fillId="5" borderId="1" xfId="0" applyFill="1" applyBorder="1"/>
    <xf numFmtId="0" fontId="1" fillId="0" borderId="1" xfId="0" applyFont="1" applyBorder="1"/>
    <xf numFmtId="0" fontId="0" fillId="6" borderId="1" xfId="0" applyFill="1" applyBorder="1"/>
    <xf numFmtId="0" fontId="1" fillId="6" borderId="1" xfId="0" applyFont="1" applyFill="1" applyBorder="1"/>
    <xf numFmtId="0" fontId="0" fillId="7" borderId="0" xfId="0" applyFill="1"/>
    <xf numFmtId="0" fontId="0" fillId="7" borderId="0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8.466204619597259E-2"/>
          <c:y val="0.16245370370370371"/>
          <c:w val="0.88405675580069965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'3.POTENCIAL'!$B$2:$B$6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'3.POTENCIAL'!$C$2:$C$6</c:f>
              <c:numCache>
                <c:formatCode>General</c:formatCode>
                <c:ptCount val="5"/>
                <c:pt idx="0">
                  <c:v>124.9</c:v>
                </c:pt>
                <c:pt idx="1">
                  <c:v>115.6</c:v>
                </c:pt>
                <c:pt idx="2">
                  <c:v>100.1</c:v>
                </c:pt>
                <c:pt idx="3">
                  <c:v>78.400000000000006</c:v>
                </c:pt>
                <c:pt idx="4">
                  <c:v>50.5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B2-4380-8332-BC21E0CB8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402319"/>
        <c:axId val="562400399"/>
      </c:scatterChart>
      <c:valAx>
        <c:axId val="562402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2400399"/>
        <c:crosses val="autoZero"/>
        <c:crossBetween val="midCat"/>
      </c:valAx>
      <c:valAx>
        <c:axId val="5624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6240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514531</xdr:colOff>
      <xdr:row>6</xdr:row>
      <xdr:rowOff>21010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0BEA55-9188-EFAB-112D-587A0568F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5" y="723900"/>
          <a:ext cx="1295581" cy="390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695325</xdr:colOff>
      <xdr:row>4</xdr:row>
      <xdr:rowOff>36821</xdr:rowOff>
    </xdr:from>
    <xdr:to>
      <xdr:col>10</xdr:col>
      <xdr:colOff>514531</xdr:colOff>
      <xdr:row>6</xdr:row>
      <xdr:rowOff>85780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3C3C14-4EEF-4BB7-AB43-5EA5979F7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9925" y="760721"/>
          <a:ext cx="1400356" cy="4109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12</xdr:row>
      <xdr:rowOff>175700</xdr:rowOff>
    </xdr:from>
    <xdr:to>
      <xdr:col>8</xdr:col>
      <xdr:colOff>247063</xdr:colOff>
      <xdr:row>27</xdr:row>
      <xdr:rowOff>178924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A4AEB10-ED88-3C07-8A8F-41DECE15B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F19" sqref="F19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>
        <v>0</v>
      </c>
    </row>
    <row r="2" spans="1:6" x14ac:dyDescent="0.3">
      <c r="A2" s="1" t="s">
        <v>1</v>
      </c>
      <c r="B2" s="1">
        <v>6</v>
      </c>
      <c r="D2" t="s">
        <v>2</v>
      </c>
      <c r="E2">
        <v>1.4</v>
      </c>
    </row>
    <row r="3" spans="1:6" x14ac:dyDescent="0.3">
      <c r="A3" s="1" t="s">
        <v>3</v>
      </c>
      <c r="B3" s="1">
        <v>6</v>
      </c>
      <c r="D3" t="s">
        <v>4</v>
      </c>
      <c r="E3">
        <f>10^-5</f>
        <v>1.0000000000000001E-5</v>
      </c>
    </row>
    <row r="4" spans="1:6" x14ac:dyDescent="0.3">
      <c r="A4" s="1" t="s">
        <v>5</v>
      </c>
      <c r="B4" s="1">
        <f>(B2-B1)/B3</f>
        <v>1</v>
      </c>
    </row>
    <row r="5" spans="1:6" x14ac:dyDescent="0.3">
      <c r="D5" s="2" t="s">
        <v>6</v>
      </c>
      <c r="E5" s="2">
        <f>B4/2*(B7+B13) +B4*SUM(B8:B12)</f>
        <v>0.94439999999999991</v>
      </c>
      <c r="F5" t="s">
        <v>7</v>
      </c>
    </row>
    <row r="6" spans="1:6" x14ac:dyDescent="0.3">
      <c r="A6" s="1" t="s">
        <v>8</v>
      </c>
      <c r="B6" s="1" t="s">
        <v>9</v>
      </c>
    </row>
    <row r="7" spans="1:6" x14ac:dyDescent="0.3">
      <c r="A7" s="1">
        <f>B1</f>
        <v>0</v>
      </c>
      <c r="B7" s="1">
        <v>0</v>
      </c>
    </row>
    <row r="8" spans="1:6" x14ac:dyDescent="0.3">
      <c r="A8" s="1">
        <v>1</v>
      </c>
      <c r="B8" s="1">
        <v>0.5</v>
      </c>
      <c r="D8" t="s">
        <v>10</v>
      </c>
      <c r="E8" t="s">
        <v>11</v>
      </c>
    </row>
    <row r="9" spans="1:6" x14ac:dyDescent="0.3">
      <c r="A9" s="1">
        <v>2</v>
      </c>
      <c r="B9" s="1">
        <v>0.22220000000000001</v>
      </c>
      <c r="D9" t="s">
        <v>12</v>
      </c>
      <c r="E9" t="s">
        <v>13</v>
      </c>
    </row>
    <row r="10" spans="1:6" x14ac:dyDescent="0.3">
      <c r="A10" s="1">
        <v>3</v>
      </c>
      <c r="B10" s="1">
        <v>0.1072</v>
      </c>
    </row>
    <row r="11" spans="1:6" x14ac:dyDescent="0.3">
      <c r="A11" s="1">
        <v>4</v>
      </c>
      <c r="B11" s="1">
        <v>6.1499999999999999E-2</v>
      </c>
      <c r="D11" t="s">
        <v>14</v>
      </c>
      <c r="E11">
        <f>SQRT((B2-B1)^3*E2/(12*E3))</f>
        <v>1587.4507866387542</v>
      </c>
    </row>
    <row r="12" spans="1:6" x14ac:dyDescent="0.3">
      <c r="A12" s="1">
        <v>5</v>
      </c>
      <c r="B12" s="1">
        <v>3.9699999999999999E-2</v>
      </c>
    </row>
    <row r="13" spans="1:6" x14ac:dyDescent="0.3">
      <c r="A13" s="1">
        <v>6</v>
      </c>
      <c r="B13" s="3">
        <v>2.76E-2</v>
      </c>
    </row>
    <row r="14" spans="1:6" x14ac:dyDescent="0.3">
      <c r="A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8264-E720-4FBC-BADE-8CC2BFB3913B}">
  <dimension ref="A1:J17"/>
  <sheetViews>
    <sheetView zoomScale="115" zoomScaleNormal="115" workbookViewId="0">
      <selection activeCell="E38" sqref="E38"/>
    </sheetView>
  </sheetViews>
  <sheetFormatPr baseColWidth="10" defaultRowHeight="14.4" x14ac:dyDescent="0.3"/>
  <sheetData>
    <row r="1" spans="1:10" x14ac:dyDescent="0.3">
      <c r="B1" s="1" t="s">
        <v>8</v>
      </c>
      <c r="C1" s="1" t="s">
        <v>28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10" x14ac:dyDescent="0.3">
      <c r="B2" s="1">
        <v>0</v>
      </c>
      <c r="C2" s="1">
        <v>-5</v>
      </c>
      <c r="D2" s="1"/>
      <c r="E2" s="1"/>
      <c r="F2" s="1"/>
      <c r="G2" s="1"/>
      <c r="H2" s="1"/>
      <c r="J2" t="s">
        <v>29</v>
      </c>
    </row>
    <row r="3" spans="1:10" x14ac:dyDescent="0.3">
      <c r="A3" t="s">
        <v>20</v>
      </c>
      <c r="B3" s="1">
        <v>0.5</v>
      </c>
      <c r="C3" s="4">
        <v>-3.9392999999999998</v>
      </c>
      <c r="D3" s="1">
        <f>(C3-C2)/(B3-B2)</f>
        <v>2.1214000000000004</v>
      </c>
      <c r="E3" s="1"/>
      <c r="F3" s="1"/>
      <c r="G3" s="1"/>
      <c r="H3" s="1"/>
      <c r="J3" t="s">
        <v>32</v>
      </c>
    </row>
    <row r="4" spans="1:10" x14ac:dyDescent="0.3">
      <c r="A4" t="s">
        <v>21</v>
      </c>
      <c r="B4" s="1">
        <v>1</v>
      </c>
      <c r="C4" s="1">
        <v>-2</v>
      </c>
      <c r="D4" s="4">
        <f t="shared" ref="D4:D7" si="0">(C4-C3)/(B4-B3)</f>
        <v>3.8785999999999996</v>
      </c>
      <c r="E4" s="1">
        <f>(D4-D3)/(B4-B2)</f>
        <v>1.7571999999999992</v>
      </c>
      <c r="F4" s="1"/>
      <c r="G4" s="1"/>
      <c r="H4" s="1"/>
    </row>
    <row r="5" spans="1:10" x14ac:dyDescent="0.3">
      <c r="A5" t="s">
        <v>22</v>
      </c>
      <c r="B5" s="1">
        <v>1.5</v>
      </c>
      <c r="C5" s="1">
        <v>1.3640000000000001</v>
      </c>
      <c r="D5" s="1">
        <f t="shared" si="0"/>
        <v>6.7279999999999998</v>
      </c>
      <c r="E5" s="4">
        <f t="shared" ref="E5:E7" si="1">(D5-D4)/(B5-B3)</f>
        <v>2.8494000000000002</v>
      </c>
      <c r="F5" s="1">
        <f>(E5-E4)/(B5-B2)</f>
        <v>0.72813333333333397</v>
      </c>
      <c r="G5" s="1"/>
      <c r="H5" s="1"/>
    </row>
    <row r="6" spans="1:10" x14ac:dyDescent="0.3">
      <c r="A6" t="s">
        <v>23</v>
      </c>
      <c r="B6" s="1">
        <v>2</v>
      </c>
      <c r="C6" s="1">
        <v>7</v>
      </c>
      <c r="D6" s="1">
        <f t="shared" si="0"/>
        <v>11.272</v>
      </c>
      <c r="E6" s="1">
        <f t="shared" si="1"/>
        <v>4.5440000000000005</v>
      </c>
      <c r="F6" s="4">
        <f>(E6-E5)/(B6-B3)</f>
        <v>1.1297333333333335</v>
      </c>
      <c r="G6" s="1">
        <f>(F6-F5)/(B6-B2)</f>
        <v>0.20079999999999976</v>
      </c>
      <c r="H6" s="1"/>
    </row>
    <row r="7" spans="1:10" x14ac:dyDescent="0.3">
      <c r="B7" s="7"/>
      <c r="C7" s="7"/>
      <c r="D7" s="7"/>
      <c r="E7" s="7"/>
      <c r="F7" s="7"/>
      <c r="G7" s="7"/>
      <c r="H7" s="7"/>
    </row>
    <row r="9" spans="1:10" x14ac:dyDescent="0.3">
      <c r="A9" t="s">
        <v>24</v>
      </c>
      <c r="B9">
        <v>1.67</v>
      </c>
    </row>
    <row r="10" spans="1:10" x14ac:dyDescent="0.3">
      <c r="F10" s="5" t="s">
        <v>30</v>
      </c>
      <c r="G10" s="5">
        <f>SUM(D11:D14)</f>
        <v>2.9828583131999991</v>
      </c>
      <c r="I10" t="s">
        <v>25</v>
      </c>
    </row>
    <row r="11" spans="1:10" x14ac:dyDescent="0.3">
      <c r="B11" s="5">
        <v>1</v>
      </c>
      <c r="C11" s="6">
        <f>C3</f>
        <v>-3.9392999999999998</v>
      </c>
      <c r="D11">
        <f>C11*B11</f>
        <v>-3.9392999999999998</v>
      </c>
      <c r="F11" s="5" t="s">
        <v>31</v>
      </c>
      <c r="G11" s="5">
        <f>(3/2*B9*2^B9)-5</f>
        <v>2.9712755672242848</v>
      </c>
      <c r="I11" t="s">
        <v>26</v>
      </c>
    </row>
    <row r="12" spans="1:10" x14ac:dyDescent="0.3">
      <c r="B12">
        <f>B9-B3</f>
        <v>1.17</v>
      </c>
      <c r="C12" s="6">
        <f>D4</f>
        <v>3.8785999999999996</v>
      </c>
      <c r="D12">
        <f t="shared" ref="D12:D14" si="2">C12*B12</f>
        <v>4.5379619999999994</v>
      </c>
      <c r="F12" s="10" t="s">
        <v>10</v>
      </c>
      <c r="G12" s="10">
        <f>ABS(G11-G10)</f>
        <v>1.1582745975714293E-2</v>
      </c>
    </row>
    <row r="13" spans="1:10" x14ac:dyDescent="0.3">
      <c r="B13">
        <f>B12*(B9-B4)</f>
        <v>0.78389999999999982</v>
      </c>
      <c r="C13" s="6">
        <f>E5</f>
        <v>2.8494000000000002</v>
      </c>
      <c r="D13">
        <f t="shared" si="2"/>
        <v>2.2336446599999995</v>
      </c>
      <c r="F13" s="10" t="s">
        <v>27</v>
      </c>
      <c r="G13" s="10">
        <f>ABS((G11-G10)/G11)</f>
        <v>3.8982402384625326E-3</v>
      </c>
    </row>
    <row r="14" spans="1:10" x14ac:dyDescent="0.3">
      <c r="B14">
        <f>B13*(B9-B5)</f>
        <v>0.13326299999999991</v>
      </c>
      <c r="C14" s="6">
        <f>F6</f>
        <v>1.1297333333333335</v>
      </c>
      <c r="D14">
        <f t="shared" si="2"/>
        <v>0.15055165319999991</v>
      </c>
    </row>
    <row r="16" spans="1:10" x14ac:dyDescent="0.3">
      <c r="B16" t="s">
        <v>33</v>
      </c>
    </row>
    <row r="17" spans="2:2" x14ac:dyDescent="0.3">
      <c r="B17" t="s">
        <v>34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14CC-92C6-423E-B54D-447876AB12D0}">
  <dimension ref="A1:J20"/>
  <sheetViews>
    <sheetView tabSelected="1" workbookViewId="0">
      <selection activeCell="I16" sqref="I16"/>
    </sheetView>
  </sheetViews>
  <sheetFormatPr baseColWidth="10" defaultRowHeight="14.4" x14ac:dyDescent="0.3"/>
  <sheetData>
    <row r="1" spans="1:10" x14ac:dyDescent="0.3">
      <c r="B1" s="1" t="s">
        <v>8</v>
      </c>
      <c r="C1" s="1" t="s">
        <v>28</v>
      </c>
      <c r="D1" s="1" t="s">
        <v>15</v>
      </c>
      <c r="E1" s="1" t="s">
        <v>16</v>
      </c>
      <c r="F1" s="1" t="s">
        <v>17</v>
      </c>
      <c r="G1" s="1" t="s">
        <v>18</v>
      </c>
      <c r="H1" s="1"/>
    </row>
    <row r="2" spans="1:10" x14ac:dyDescent="0.3">
      <c r="B2" s="1">
        <v>0</v>
      </c>
      <c r="C2" s="4">
        <v>-5</v>
      </c>
      <c r="D2" s="1"/>
      <c r="E2" s="1"/>
      <c r="F2" s="1"/>
      <c r="G2" s="1"/>
      <c r="H2" s="1"/>
      <c r="J2" t="s">
        <v>29</v>
      </c>
    </row>
    <row r="3" spans="1:10" x14ac:dyDescent="0.3">
      <c r="A3" t="s">
        <v>20</v>
      </c>
      <c r="B3" s="1">
        <v>0.5</v>
      </c>
      <c r="C3" s="11">
        <v>-3.9392999999999998</v>
      </c>
      <c r="D3" s="4">
        <f>(C3-C2)/(B3-B2)</f>
        <v>2.1214000000000004</v>
      </c>
      <c r="E3" s="1"/>
      <c r="F3" s="1"/>
      <c r="G3" s="1"/>
      <c r="H3" s="1"/>
      <c r="J3" t="s">
        <v>32</v>
      </c>
    </row>
    <row r="4" spans="1:10" x14ac:dyDescent="0.3">
      <c r="A4" t="s">
        <v>21</v>
      </c>
      <c r="B4" s="1">
        <v>1</v>
      </c>
      <c r="C4" s="1">
        <v>-2</v>
      </c>
      <c r="D4" s="11">
        <f t="shared" ref="D4:D6" si="0">(C4-C3)/(B4-B3)</f>
        <v>3.8785999999999996</v>
      </c>
      <c r="E4" s="4">
        <f>(D4-D3)/(B4-B2)</f>
        <v>1.7571999999999992</v>
      </c>
      <c r="F4" s="1"/>
      <c r="G4" s="1"/>
      <c r="H4" s="1"/>
    </row>
    <row r="5" spans="1:10" x14ac:dyDescent="0.3">
      <c r="A5" t="s">
        <v>22</v>
      </c>
      <c r="B5" s="1">
        <v>1.5</v>
      </c>
      <c r="C5" s="1">
        <v>1.3640000000000001</v>
      </c>
      <c r="D5" s="1">
        <f t="shared" si="0"/>
        <v>6.7279999999999998</v>
      </c>
      <c r="E5" s="11">
        <f t="shared" ref="E5:E6" si="1">(D5-D4)/(B5-B3)</f>
        <v>2.8494000000000002</v>
      </c>
      <c r="F5" s="4">
        <f>(E5-E4)/(B5-B2)</f>
        <v>0.72813333333333397</v>
      </c>
      <c r="G5" s="1"/>
      <c r="H5" s="1"/>
    </row>
    <row r="6" spans="1:10" x14ac:dyDescent="0.3">
      <c r="A6" t="s">
        <v>23</v>
      </c>
      <c r="B6" s="1">
        <v>2</v>
      </c>
      <c r="C6" s="1">
        <v>7</v>
      </c>
      <c r="D6" s="1">
        <f t="shared" si="0"/>
        <v>11.272</v>
      </c>
      <c r="E6" s="1">
        <f t="shared" si="1"/>
        <v>4.5440000000000005</v>
      </c>
      <c r="F6" s="11">
        <f>(E6-E5)/(B6-B3)</f>
        <v>1.1297333333333335</v>
      </c>
      <c r="G6" s="1">
        <f>(F6-F5)/(B6-B2)</f>
        <v>0.20079999999999976</v>
      </c>
      <c r="H6" s="1"/>
    </row>
    <row r="7" spans="1:10" x14ac:dyDescent="0.3">
      <c r="B7" s="7"/>
      <c r="C7" s="7"/>
      <c r="D7" s="7"/>
      <c r="E7" s="7"/>
      <c r="F7" s="7"/>
      <c r="G7" s="7"/>
      <c r="H7" s="7"/>
    </row>
    <row r="9" spans="1:10" x14ac:dyDescent="0.3">
      <c r="A9" t="s">
        <v>24</v>
      </c>
      <c r="B9">
        <v>0</v>
      </c>
    </row>
    <row r="10" spans="1:10" x14ac:dyDescent="0.3">
      <c r="F10" s="5" t="s">
        <v>30</v>
      </c>
      <c r="G10" s="5">
        <f>SUM(D11:D14)</f>
        <v>-5.7282000000000011</v>
      </c>
      <c r="I10" t="s">
        <v>25</v>
      </c>
    </row>
    <row r="11" spans="1:10" x14ac:dyDescent="0.3">
      <c r="B11" s="5">
        <v>1</v>
      </c>
      <c r="C11" s="6">
        <f>C2</f>
        <v>-5</v>
      </c>
      <c r="D11">
        <f>C11*B11</f>
        <v>-5</v>
      </c>
      <c r="F11" s="5" t="s">
        <v>31</v>
      </c>
      <c r="G11" s="5">
        <f>(3/2*B9*2^B9)-5</f>
        <v>-5</v>
      </c>
      <c r="I11" t="s">
        <v>26</v>
      </c>
    </row>
    <row r="12" spans="1:10" x14ac:dyDescent="0.3">
      <c r="B12">
        <f>B9-B3</f>
        <v>-0.5</v>
      </c>
      <c r="C12" s="6">
        <f>D3</f>
        <v>2.1214000000000004</v>
      </c>
      <c r="D12">
        <f t="shared" ref="D12:D14" si="2">C12*B12</f>
        <v>-1.0607000000000002</v>
      </c>
      <c r="F12" s="10" t="s">
        <v>10</v>
      </c>
      <c r="G12" s="10">
        <f>ABS(G11-G10)</f>
        <v>0.72820000000000107</v>
      </c>
    </row>
    <row r="13" spans="1:10" x14ac:dyDescent="0.3">
      <c r="B13">
        <f>B12*(B9-B4)</f>
        <v>0.5</v>
      </c>
      <c r="C13" s="6">
        <f>E4</f>
        <v>1.7571999999999992</v>
      </c>
      <c r="D13">
        <f t="shared" si="2"/>
        <v>0.8785999999999996</v>
      </c>
      <c r="F13" s="10" t="s">
        <v>27</v>
      </c>
      <c r="G13" s="10">
        <f>ABS((G11-G10)/G11)</f>
        <v>0.14564000000000021</v>
      </c>
    </row>
    <row r="14" spans="1:10" x14ac:dyDescent="0.3">
      <c r="B14">
        <f>B13*(B9-B5)</f>
        <v>-0.75</v>
      </c>
      <c r="C14" s="6">
        <f>F5</f>
        <v>0.72813333333333397</v>
      </c>
      <c r="D14">
        <f t="shared" si="2"/>
        <v>-0.54610000000000047</v>
      </c>
    </row>
    <row r="16" spans="1:10" x14ac:dyDescent="0.3">
      <c r="B16" t="s">
        <v>33</v>
      </c>
    </row>
    <row r="17" spans="2:7" x14ac:dyDescent="0.3">
      <c r="B17" t="s">
        <v>34</v>
      </c>
    </row>
    <row r="19" spans="2:7" x14ac:dyDescent="0.3">
      <c r="E19" s="19" t="s">
        <v>69</v>
      </c>
      <c r="F19" s="19"/>
      <c r="G19" s="19"/>
    </row>
    <row r="20" spans="2:7" x14ac:dyDescent="0.3">
      <c r="E20" t="s">
        <v>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FC2E-F68D-4952-8A1C-35EE3C4F3403}">
  <dimension ref="A1:I11"/>
  <sheetViews>
    <sheetView zoomScale="130" zoomScaleNormal="130" workbookViewId="0">
      <selection activeCell="H12" sqref="H12"/>
    </sheetView>
  </sheetViews>
  <sheetFormatPr baseColWidth="10" defaultRowHeight="14.4" x14ac:dyDescent="0.3"/>
  <cols>
    <col min="8" max="8" width="15.21875" customWidth="1"/>
  </cols>
  <sheetData>
    <row r="1" spans="1:9" x14ac:dyDescent="0.3">
      <c r="A1" s="14" t="s">
        <v>35</v>
      </c>
      <c r="B1" s="14" t="s">
        <v>8</v>
      </c>
      <c r="C1" s="14" t="s">
        <v>48</v>
      </c>
      <c r="D1" s="14" t="s">
        <v>49</v>
      </c>
      <c r="E1" s="14" t="s">
        <v>50</v>
      </c>
      <c r="F1" s="14" t="s">
        <v>51</v>
      </c>
      <c r="G1" s="14" t="s">
        <v>52</v>
      </c>
      <c r="H1" s="14" t="s">
        <v>53</v>
      </c>
      <c r="I1" s="14" t="s">
        <v>54</v>
      </c>
    </row>
    <row r="2" spans="1:9" x14ac:dyDescent="0.3">
      <c r="A2" s="1">
        <v>1</v>
      </c>
      <c r="B2" s="1">
        <v>1</v>
      </c>
      <c r="C2" s="1">
        <v>124.9</v>
      </c>
      <c r="D2" s="1">
        <f>LN(B2)</f>
        <v>0</v>
      </c>
      <c r="E2" s="1">
        <f>LN(C2)</f>
        <v>4.8275134171315317</v>
      </c>
      <c r="F2" s="1">
        <f>D2*E2</f>
        <v>0</v>
      </c>
      <c r="G2" s="1">
        <f>D2^2</f>
        <v>0</v>
      </c>
      <c r="H2" s="1">
        <f>$B$11*B2^$B$10</f>
        <v>143.76357601243001</v>
      </c>
      <c r="I2" s="1">
        <f>ABS(H2-C2)^2</f>
        <v>355.8344999767246</v>
      </c>
    </row>
    <row r="3" spans="1:9" x14ac:dyDescent="0.3">
      <c r="A3" s="1">
        <v>2</v>
      </c>
      <c r="B3" s="1">
        <v>2</v>
      </c>
      <c r="C3" s="1">
        <v>115.6</v>
      </c>
      <c r="D3" s="1">
        <f t="shared" ref="D3:D6" si="0">LN(B3)</f>
        <v>0.69314718055994529</v>
      </c>
      <c r="E3" s="1">
        <f t="shared" ref="E3:E6" si="1">LN(C3)</f>
        <v>4.7501359562382772</v>
      </c>
      <c r="F3" s="1">
        <f t="shared" ref="F3:F6" si="2">D3*E3</f>
        <v>3.2925433453429815</v>
      </c>
      <c r="G3" s="1">
        <f t="shared" ref="G3:G6" si="3">D3^2</f>
        <v>0.48045301391820139</v>
      </c>
      <c r="H3" s="1">
        <f t="shared" ref="H3:H6" si="4">$B$11*B3^$B$10</f>
        <v>101.95853980063829</v>
      </c>
      <c r="I3" s="1">
        <f t="shared" ref="I3:I6" si="5">ABS(H3-C3)^2</f>
        <v>186.08943637076942</v>
      </c>
    </row>
    <row r="4" spans="1:9" x14ac:dyDescent="0.3">
      <c r="A4" s="1">
        <v>3</v>
      </c>
      <c r="B4" s="1">
        <v>3</v>
      </c>
      <c r="C4" s="1">
        <v>100.1</v>
      </c>
      <c r="D4" s="1">
        <f t="shared" si="0"/>
        <v>1.0986122886681098</v>
      </c>
      <c r="E4" s="1">
        <f t="shared" si="1"/>
        <v>4.6061696863211745</v>
      </c>
      <c r="F4" s="1">
        <f t="shared" si="2"/>
        <v>5.0603946210829749</v>
      </c>
      <c r="G4" s="1">
        <f t="shared" si="3"/>
        <v>1.2069489608125821</v>
      </c>
      <c r="H4" s="1">
        <f t="shared" si="4"/>
        <v>83.393543102094171</v>
      </c>
      <c r="I4" s="1">
        <f t="shared" si="5"/>
        <v>279.10570208158509</v>
      </c>
    </row>
    <row r="5" spans="1:9" x14ac:dyDescent="0.3">
      <c r="A5" s="1">
        <v>4</v>
      </c>
      <c r="B5" s="1">
        <v>4</v>
      </c>
      <c r="C5" s="1">
        <v>78.400000000000006</v>
      </c>
      <c r="D5" s="1">
        <f t="shared" si="0"/>
        <v>1.3862943611198906</v>
      </c>
      <c r="E5" s="1">
        <f t="shared" si="1"/>
        <v>4.3618239273563626</v>
      </c>
      <c r="F5" s="1">
        <f t="shared" si="2"/>
        <v>6.0467719146919405</v>
      </c>
      <c r="G5" s="1">
        <f t="shared" si="3"/>
        <v>1.9218120556728056</v>
      </c>
      <c r="H5" s="1">
        <f t="shared" si="4"/>
        <v>72.309997612883052</v>
      </c>
      <c r="I5" s="1">
        <f t="shared" si="5"/>
        <v>37.088129075090194</v>
      </c>
    </row>
    <row r="6" spans="1:9" x14ac:dyDescent="0.3">
      <c r="A6" s="1">
        <v>5</v>
      </c>
      <c r="B6" s="1">
        <v>5</v>
      </c>
      <c r="C6" s="1">
        <v>50.5</v>
      </c>
      <c r="D6" s="1">
        <f t="shared" si="0"/>
        <v>1.6094379124341003</v>
      </c>
      <c r="E6" s="1">
        <f t="shared" si="1"/>
        <v>3.9219733362813143</v>
      </c>
      <c r="F6" s="1">
        <f t="shared" si="2"/>
        <v>6.312172578966802</v>
      </c>
      <c r="G6" s="1">
        <f t="shared" si="3"/>
        <v>2.5902903939802346</v>
      </c>
      <c r="H6" s="1">
        <f t="shared" si="4"/>
        <v>64.737890479769973</v>
      </c>
      <c r="I6" s="1">
        <f t="shared" si="5"/>
        <v>202.71752531392443</v>
      </c>
    </row>
    <row r="7" spans="1:9" x14ac:dyDescent="0.3">
      <c r="A7" s="1" t="s">
        <v>55</v>
      </c>
      <c r="B7" s="1"/>
      <c r="C7" s="1"/>
      <c r="D7" s="1">
        <f>SUM(D2:D6)</f>
        <v>4.7874917427820458</v>
      </c>
      <c r="E7" s="1">
        <f t="shared" ref="E7:G7" si="6">SUM(E2:E6)</f>
        <v>22.467616323328659</v>
      </c>
      <c r="F7" s="1">
        <f t="shared" si="6"/>
        <v>20.711882460084698</v>
      </c>
      <c r="G7" s="1">
        <f t="shared" si="6"/>
        <v>6.1995044243838233</v>
      </c>
      <c r="H7" s="1"/>
      <c r="I7" s="14">
        <f>SUM(I2:I6)</f>
        <v>1060.8352928180936</v>
      </c>
    </row>
    <row r="10" spans="1:9" x14ac:dyDescent="0.3">
      <c r="A10" t="s">
        <v>1</v>
      </c>
      <c r="B10">
        <f>(A6*F7-D7*E7)/(A6*G7-D7^2)</f>
        <v>-0.49571558331519883</v>
      </c>
    </row>
    <row r="11" spans="1:9" x14ac:dyDescent="0.3">
      <c r="A11" t="s">
        <v>0</v>
      </c>
      <c r="B11">
        <f>EXP((E7-B10*D7)/A6)</f>
        <v>143.76357601243001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B429-E7A2-4F66-9E30-0DC185A1DAD6}">
  <dimension ref="A1:H10"/>
  <sheetViews>
    <sheetView zoomScale="115" zoomScaleNormal="115" workbookViewId="0">
      <selection activeCell="C9" sqref="C9"/>
    </sheetView>
  </sheetViews>
  <sheetFormatPr baseColWidth="10" defaultRowHeight="14.4" x14ac:dyDescent="0.3"/>
  <sheetData>
    <row r="1" spans="1:8" x14ac:dyDescent="0.3">
      <c r="A1" s="15" t="s">
        <v>35</v>
      </c>
      <c r="B1" s="16" t="s">
        <v>36</v>
      </c>
      <c r="C1" s="16" t="s">
        <v>37</v>
      </c>
      <c r="D1" s="16" t="s">
        <v>50</v>
      </c>
      <c r="E1" s="16" t="s">
        <v>56</v>
      </c>
      <c r="F1" s="16" t="s">
        <v>57</v>
      </c>
      <c r="G1" s="16" t="s">
        <v>58</v>
      </c>
      <c r="H1" s="16" t="s">
        <v>54</v>
      </c>
    </row>
    <row r="2" spans="1:8" x14ac:dyDescent="0.3">
      <c r="A2" s="1">
        <v>1</v>
      </c>
      <c r="B2" s="1">
        <v>1</v>
      </c>
      <c r="C2" s="1">
        <v>124.9</v>
      </c>
      <c r="D2" s="1">
        <f>LN(C2)</f>
        <v>4.8275134171315317</v>
      </c>
      <c r="E2" s="1">
        <f>B2*D2</f>
        <v>4.8275134171315317</v>
      </c>
      <c r="F2" s="1">
        <f>B2^2</f>
        <v>1</v>
      </c>
      <c r="G2" s="1">
        <f>$B$10*EXP($B$9*B2)</f>
        <v>138.85103985562475</v>
      </c>
      <c r="H2" s="1">
        <f>(C2-G2)^2</f>
        <v>194.63151305323004</v>
      </c>
    </row>
    <row r="3" spans="1:8" x14ac:dyDescent="0.3">
      <c r="A3" s="1">
        <v>2</v>
      </c>
      <c r="B3" s="1">
        <v>2</v>
      </c>
      <c r="C3" s="1">
        <v>115.6</v>
      </c>
      <c r="D3" s="1">
        <f t="shared" ref="D3:D6" si="0">LN(C3)</f>
        <v>4.7501359562382772</v>
      </c>
      <c r="E3" s="1">
        <f t="shared" ref="E3:E6" si="1">B3*D3</f>
        <v>9.5002719124765544</v>
      </c>
      <c r="F3" s="1">
        <f t="shared" ref="F3:F6" si="2">B3^2</f>
        <v>4</v>
      </c>
      <c r="G3" s="1">
        <f t="shared" ref="G3:G5" si="3">$B$10*EXP($B$9*B3)</f>
        <v>111.43734266157244</v>
      </c>
      <c r="H3" s="1">
        <f t="shared" ref="H3:H6" si="4">(C3-G3)^2</f>
        <v>17.327716117164737</v>
      </c>
    </row>
    <row r="4" spans="1:8" x14ac:dyDescent="0.3">
      <c r="A4" s="1">
        <v>3</v>
      </c>
      <c r="B4" s="1">
        <v>3</v>
      </c>
      <c r="C4" s="1">
        <v>100.1</v>
      </c>
      <c r="D4" s="1">
        <f t="shared" si="0"/>
        <v>4.6061696863211745</v>
      </c>
      <c r="E4" s="1">
        <f t="shared" si="1"/>
        <v>13.818509058963524</v>
      </c>
      <c r="F4" s="1">
        <f t="shared" si="2"/>
        <v>9</v>
      </c>
      <c r="G4" s="1">
        <f t="shared" si="3"/>
        <v>89.435998119892048</v>
      </c>
      <c r="H4" s="1">
        <f t="shared" si="4"/>
        <v>113.72093609894581</v>
      </c>
    </row>
    <row r="5" spans="1:8" x14ac:dyDescent="0.3">
      <c r="A5" s="1">
        <v>4</v>
      </c>
      <c r="B5" s="1">
        <v>4</v>
      </c>
      <c r="C5" s="1">
        <v>78.400000000000006</v>
      </c>
      <c r="D5" s="1">
        <f t="shared" si="0"/>
        <v>4.3618239273563626</v>
      </c>
      <c r="E5" s="1">
        <f t="shared" si="1"/>
        <v>17.44729570942545</v>
      </c>
      <c r="F5" s="1">
        <f t="shared" si="2"/>
        <v>16</v>
      </c>
      <c r="G5" s="1">
        <f t="shared" si="3"/>
        <v>71.778432333882321</v>
      </c>
      <c r="H5" s="1">
        <f t="shared" si="4"/>
        <v>43.845158356975197</v>
      </c>
    </row>
    <row r="6" spans="1:8" x14ac:dyDescent="0.3">
      <c r="A6" s="1">
        <v>5</v>
      </c>
      <c r="B6" s="1">
        <v>5</v>
      </c>
      <c r="C6" s="1">
        <v>50.5</v>
      </c>
      <c r="D6" s="1">
        <f t="shared" si="0"/>
        <v>3.9219733362813143</v>
      </c>
      <c r="E6" s="1">
        <f t="shared" si="1"/>
        <v>19.609866681406572</v>
      </c>
      <c r="F6" s="1">
        <f t="shared" si="2"/>
        <v>25</v>
      </c>
      <c r="G6" s="1">
        <f>$B$10*EXP($B$9*B6)</f>
        <v>57.607042540108921</v>
      </c>
      <c r="H6" s="1">
        <f t="shared" si="4"/>
        <v>50.510053666917862</v>
      </c>
    </row>
    <row r="7" spans="1:8" x14ac:dyDescent="0.3">
      <c r="A7" s="1" t="s">
        <v>55</v>
      </c>
      <c r="B7" s="8">
        <f>SUM(B2:B6)</f>
        <v>15</v>
      </c>
      <c r="C7" s="8">
        <f>SUM(C2:C6)</f>
        <v>469.5</v>
      </c>
      <c r="D7" s="8">
        <f t="shared" ref="D7:H7" si="5">SUM(D2:D6)</f>
        <v>22.467616323328659</v>
      </c>
      <c r="E7" s="8">
        <f t="shared" si="5"/>
        <v>65.203456779403638</v>
      </c>
      <c r="F7" s="8">
        <f t="shared" si="5"/>
        <v>55</v>
      </c>
      <c r="G7" s="8">
        <f t="shared" si="5"/>
        <v>469.10985551108047</v>
      </c>
      <c r="H7" s="8">
        <f t="shared" si="5"/>
        <v>420.03537729323369</v>
      </c>
    </row>
    <row r="9" spans="1:8" x14ac:dyDescent="0.3">
      <c r="A9" t="s">
        <v>1</v>
      </c>
      <c r="B9">
        <f>(A6*E7-B7*D7)/(A6*F7-(B7)^2)</f>
        <v>-0.21993921905823413</v>
      </c>
    </row>
    <row r="10" spans="1:8" x14ac:dyDescent="0.3">
      <c r="A10" t="s">
        <v>0</v>
      </c>
      <c r="B10">
        <f>EXP((D7-B9*B7)/A6)</f>
        <v>173.00853384075347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A68A-28B1-4D25-924E-5A10577287DD}">
  <dimension ref="A1:J16"/>
  <sheetViews>
    <sheetView zoomScale="130" zoomScaleNormal="130" workbookViewId="0">
      <selection activeCell="E14" sqref="E14"/>
    </sheetView>
  </sheetViews>
  <sheetFormatPr baseColWidth="10" defaultRowHeight="14.4" x14ac:dyDescent="0.3"/>
  <sheetData>
    <row r="1" spans="1:10" x14ac:dyDescent="0.3">
      <c r="A1" s="1" t="s">
        <v>35</v>
      </c>
      <c r="B1" s="1" t="s">
        <v>8</v>
      </c>
      <c r="C1" s="1" t="s">
        <v>48</v>
      </c>
      <c r="D1" s="1" t="s">
        <v>59</v>
      </c>
      <c r="E1" s="1" t="s">
        <v>57</v>
      </c>
      <c r="F1" s="7" t="s">
        <v>60</v>
      </c>
      <c r="G1" s="1" t="s">
        <v>61</v>
      </c>
      <c r="H1" s="1" t="s">
        <v>62</v>
      </c>
      <c r="I1" s="7"/>
      <c r="J1" s="7"/>
    </row>
    <row r="2" spans="1:10" x14ac:dyDescent="0.3">
      <c r="A2" s="1">
        <v>1</v>
      </c>
      <c r="B2" s="1">
        <v>1</v>
      </c>
      <c r="C2" s="1">
        <v>124.9</v>
      </c>
      <c r="D2" s="1">
        <f>B2*C2</f>
        <v>124.9</v>
      </c>
      <c r="E2" s="1">
        <f>B2^2</f>
        <v>1</v>
      </c>
      <c r="F2" s="7" t="s">
        <v>63</v>
      </c>
      <c r="G2" s="1">
        <f>$B$10+$B$9*B2</f>
        <v>131.1</v>
      </c>
      <c r="H2" s="1">
        <f>(G2-C2)^2</f>
        <v>38.439999999999856</v>
      </c>
      <c r="I2" s="7"/>
      <c r="J2" s="7"/>
    </row>
    <row r="3" spans="1:10" x14ac:dyDescent="0.3">
      <c r="A3" s="1">
        <v>2</v>
      </c>
      <c r="B3" s="1">
        <v>2</v>
      </c>
      <c r="C3" s="1">
        <v>115.6</v>
      </c>
      <c r="D3" s="1">
        <f t="shared" ref="D3:D6" si="0">B3*C3</f>
        <v>231.2</v>
      </c>
      <c r="E3" s="1">
        <f t="shared" ref="E3:E6" si="1">B3^2</f>
        <v>4</v>
      </c>
      <c r="F3" s="7" t="s">
        <v>64</v>
      </c>
      <c r="G3" s="1">
        <f>$B$10+$B$9*B3</f>
        <v>112.49999999999999</v>
      </c>
      <c r="H3" s="1">
        <f t="shared" ref="H3:H6" si="2">(G3-C3)^2</f>
        <v>9.6100000000000527</v>
      </c>
      <c r="I3" s="7"/>
      <c r="J3" s="7"/>
    </row>
    <row r="4" spans="1:10" x14ac:dyDescent="0.3">
      <c r="A4" s="1">
        <v>3</v>
      </c>
      <c r="B4" s="1">
        <v>3</v>
      </c>
      <c r="C4" s="1">
        <v>100.1</v>
      </c>
      <c r="D4" s="1">
        <f t="shared" si="0"/>
        <v>300.29999999999995</v>
      </c>
      <c r="E4" s="1">
        <f t="shared" si="1"/>
        <v>9</v>
      </c>
      <c r="F4" s="7" t="s">
        <v>65</v>
      </c>
      <c r="G4" s="1">
        <f>$B$10+$B$9*B4</f>
        <v>93.899999999999977</v>
      </c>
      <c r="H4" s="1">
        <f t="shared" si="2"/>
        <v>38.440000000000211</v>
      </c>
      <c r="I4" s="7"/>
      <c r="J4" s="7"/>
    </row>
    <row r="5" spans="1:10" x14ac:dyDescent="0.3">
      <c r="A5" s="1">
        <v>4</v>
      </c>
      <c r="B5" s="1">
        <v>4</v>
      </c>
      <c r="C5" s="1">
        <v>78.400000000000006</v>
      </c>
      <c r="D5" s="1">
        <f t="shared" si="0"/>
        <v>313.60000000000002</v>
      </c>
      <c r="E5" s="1">
        <f t="shared" si="1"/>
        <v>16</v>
      </c>
      <c r="F5" s="7"/>
      <c r="G5" s="1">
        <f>$B$10+$B$9*B5</f>
        <v>75.299999999999983</v>
      </c>
      <c r="H5" s="1">
        <f t="shared" si="2"/>
        <v>9.6100000000001415</v>
      </c>
      <c r="I5" s="7"/>
      <c r="J5" s="7"/>
    </row>
    <row r="6" spans="1:10" x14ac:dyDescent="0.3">
      <c r="A6" s="1">
        <v>5</v>
      </c>
      <c r="B6" s="1">
        <v>5</v>
      </c>
      <c r="C6" s="1">
        <v>50.5</v>
      </c>
      <c r="D6" s="1">
        <f t="shared" si="0"/>
        <v>252.5</v>
      </c>
      <c r="E6" s="1">
        <f t="shared" si="1"/>
        <v>25</v>
      </c>
      <c r="F6" s="7"/>
      <c r="G6" s="1">
        <f>$B$10+$B$9*B6</f>
        <v>56.699999999999989</v>
      </c>
      <c r="H6" s="1">
        <f t="shared" si="2"/>
        <v>38.439999999999856</v>
      </c>
      <c r="I6" s="7"/>
      <c r="J6" s="7"/>
    </row>
    <row r="7" spans="1:10" x14ac:dyDescent="0.3">
      <c r="A7" s="1" t="s">
        <v>55</v>
      </c>
      <c r="B7" s="1">
        <f>SUM(B2:B6)</f>
        <v>15</v>
      </c>
      <c r="C7" s="1">
        <f t="shared" ref="C7:F7" si="3">SUM(C2:C6)</f>
        <v>469.5</v>
      </c>
      <c r="D7" s="1">
        <f t="shared" si="3"/>
        <v>1222.5</v>
      </c>
      <c r="E7" s="1">
        <f t="shared" si="3"/>
        <v>55</v>
      </c>
      <c r="F7" s="7"/>
      <c r="G7" s="1" t="s">
        <v>66</v>
      </c>
      <c r="H7" s="1">
        <f>SUM(H2:H6)</f>
        <v>134.54000000000013</v>
      </c>
      <c r="I7" s="7"/>
      <c r="J7" s="7"/>
    </row>
    <row r="8" spans="1:10" x14ac:dyDescent="0.3">
      <c r="A8" s="7"/>
      <c r="B8" s="7"/>
      <c r="C8" s="7"/>
      <c r="D8" s="7"/>
      <c r="E8" s="7"/>
      <c r="F8" s="7"/>
      <c r="H8" s="7"/>
      <c r="I8" s="7"/>
      <c r="J8" s="7"/>
    </row>
    <row r="9" spans="1:10" x14ac:dyDescent="0.3">
      <c r="A9" s="7" t="s">
        <v>1</v>
      </c>
      <c r="B9" s="7">
        <f>(A6*D7-B7*C7)/(A6*E7-B7^2)</f>
        <v>-18.600000000000001</v>
      </c>
      <c r="C9" s="7"/>
      <c r="D9" s="7"/>
      <c r="E9" s="7"/>
      <c r="F9" s="7"/>
      <c r="G9" s="7"/>
      <c r="H9" s="7"/>
      <c r="I9" s="7"/>
      <c r="J9" s="7"/>
    </row>
    <row r="10" spans="1:10" x14ac:dyDescent="0.3">
      <c r="A10" s="7" t="s">
        <v>0</v>
      </c>
      <c r="B10" s="7">
        <f>(C7-B9*B7)/A6</f>
        <v>149.69999999999999</v>
      </c>
      <c r="C10" s="7"/>
      <c r="D10" s="7"/>
      <c r="E10" s="7"/>
      <c r="F10" s="7"/>
      <c r="G10" s="7"/>
      <c r="H10" s="7"/>
      <c r="I10" s="7"/>
      <c r="J10" s="7"/>
    </row>
    <row r="11" spans="1:10" x14ac:dyDescent="0.3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">
      <c r="A12" s="7"/>
      <c r="B12" s="12"/>
      <c r="C12" s="17" t="s">
        <v>67</v>
      </c>
      <c r="D12" s="18"/>
      <c r="E12" s="18"/>
      <c r="F12" s="18"/>
      <c r="G12" s="17"/>
      <c r="H12" s="17"/>
      <c r="I12" s="18"/>
      <c r="J12" s="7"/>
    </row>
    <row r="13" spans="1:10" x14ac:dyDescent="0.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3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7"/>
      <c r="B15" s="7"/>
      <c r="D15" s="7"/>
      <c r="E15" s="7"/>
      <c r="F15" s="7"/>
      <c r="G15" s="7"/>
      <c r="H15" s="7"/>
      <c r="I15" s="7"/>
      <c r="J15" s="7"/>
    </row>
    <row r="16" spans="1:10" x14ac:dyDescent="0.3">
      <c r="A16" s="7"/>
      <c r="B16" s="7"/>
      <c r="C16" s="7"/>
      <c r="D16" s="7"/>
      <c r="E16" s="7"/>
      <c r="F16" s="7"/>
      <c r="G16" s="7"/>
      <c r="H16" s="7"/>
      <c r="I16" s="7"/>
      <c r="J1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C25D3-DA67-4679-A0F7-2FDE29A2D284}">
  <dimension ref="A1:H15"/>
  <sheetViews>
    <sheetView zoomScale="130" zoomScaleNormal="130" workbookViewId="0">
      <selection activeCell="I29" sqref="I29"/>
    </sheetView>
  </sheetViews>
  <sheetFormatPr baseColWidth="10" defaultRowHeight="14.4" x14ac:dyDescent="0.3"/>
  <sheetData>
    <row r="1" spans="1:8" x14ac:dyDescent="0.3">
      <c r="A1" s="9" t="s">
        <v>35</v>
      </c>
      <c r="B1" s="9" t="s">
        <v>36</v>
      </c>
      <c r="C1" s="9" t="s">
        <v>37</v>
      </c>
    </row>
    <row r="2" spans="1:8" x14ac:dyDescent="0.3">
      <c r="A2" s="1">
        <v>1</v>
      </c>
      <c r="B2" s="1">
        <v>0</v>
      </c>
      <c r="C2" s="1">
        <v>-5</v>
      </c>
      <c r="E2" t="s">
        <v>47</v>
      </c>
    </row>
    <row r="3" spans="1:8" x14ac:dyDescent="0.3">
      <c r="A3" s="1">
        <v>2</v>
      </c>
      <c r="B3" s="1">
        <v>0.5</v>
      </c>
      <c r="C3" s="11">
        <v>-3.9392999999999998</v>
      </c>
      <c r="F3" t="s">
        <v>45</v>
      </c>
    </row>
    <row r="4" spans="1:8" x14ac:dyDescent="0.3">
      <c r="A4" s="1">
        <v>3</v>
      </c>
      <c r="B4" s="4">
        <v>1</v>
      </c>
      <c r="C4" s="4">
        <v>-2</v>
      </c>
    </row>
    <row r="5" spans="1:8" x14ac:dyDescent="0.3">
      <c r="A5" s="1">
        <v>4</v>
      </c>
      <c r="B5" s="4">
        <v>1.5</v>
      </c>
      <c r="C5" s="4">
        <v>1.3640000000000001</v>
      </c>
    </row>
    <row r="6" spans="1:8" x14ac:dyDescent="0.3">
      <c r="A6" s="1">
        <v>5</v>
      </c>
      <c r="B6" s="4">
        <v>2</v>
      </c>
      <c r="C6" s="4">
        <v>7</v>
      </c>
    </row>
    <row r="7" spans="1:8" x14ac:dyDescent="0.3">
      <c r="A7" s="12"/>
      <c r="B7" s="12"/>
      <c r="C7" s="12"/>
    </row>
    <row r="8" spans="1:8" x14ac:dyDescent="0.3">
      <c r="A8" s="12"/>
      <c r="B8" s="12"/>
      <c r="C8" s="12"/>
    </row>
    <row r="9" spans="1:8" x14ac:dyDescent="0.3">
      <c r="A9" s="12"/>
    </row>
    <row r="10" spans="1:8" x14ac:dyDescent="0.3">
      <c r="A10" s="12"/>
      <c r="B10" t="s">
        <v>24</v>
      </c>
      <c r="C10">
        <v>1.67</v>
      </c>
    </row>
    <row r="11" spans="1:8" x14ac:dyDescent="0.3">
      <c r="B11" t="s">
        <v>44</v>
      </c>
      <c r="G11" s="9" t="s">
        <v>46</v>
      </c>
      <c r="H11" s="9">
        <f>SUMPRODUCT(C13:E13,C15:E15)</f>
        <v>3.0253215999999994</v>
      </c>
    </row>
    <row r="12" spans="1:8" x14ac:dyDescent="0.3">
      <c r="C12" s="9" t="s">
        <v>38</v>
      </c>
      <c r="D12" s="9" t="s">
        <v>39</v>
      </c>
      <c r="E12" s="9" t="s">
        <v>40</v>
      </c>
      <c r="G12" s="9" t="s">
        <v>31</v>
      </c>
      <c r="H12" s="9">
        <f>(3/2*C10*2^C10)-5</f>
        <v>2.9712755672242848</v>
      </c>
    </row>
    <row r="13" spans="1:8" x14ac:dyDescent="0.3">
      <c r="C13" s="1">
        <f>PRODUCT(C10-B5,C10-B6)/PRODUCT(B4-B5,B4-B6)</f>
        <v>-0.11219999999999998</v>
      </c>
      <c r="D13">
        <f>PRODUCT(C10-B4,C10-B6)/PRODUCT(B5-B4,B5-B6)</f>
        <v>0.88440000000000007</v>
      </c>
      <c r="E13" s="1">
        <f>PRODUCT(C10-B4,C10-B5)/PRODUCT(B6-B4,B6-B5)</f>
        <v>0.22779999999999989</v>
      </c>
      <c r="G13" s="13" t="s">
        <v>10</v>
      </c>
      <c r="H13" s="13">
        <f>ABS(H12-H11)</f>
        <v>5.4046032775714625E-2</v>
      </c>
    </row>
    <row r="14" spans="1:8" x14ac:dyDescent="0.3">
      <c r="C14" s="9" t="s">
        <v>41</v>
      </c>
      <c r="D14" s="9" t="s">
        <v>42</v>
      </c>
      <c r="E14" s="9" t="s">
        <v>43</v>
      </c>
      <c r="G14" s="13" t="s">
        <v>27</v>
      </c>
      <c r="H14" s="13">
        <f>ABS((H12-H11)/H12)</f>
        <v>1.8189505332958232E-2</v>
      </c>
    </row>
    <row r="15" spans="1:8" x14ac:dyDescent="0.3">
      <c r="C15" s="1">
        <f>C4</f>
        <v>-2</v>
      </c>
      <c r="D15" s="1">
        <f>C5</f>
        <v>1.3640000000000001</v>
      </c>
      <c r="E15" s="1">
        <f>C6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2.TRAPECIO</vt:lpstr>
      <vt:lpstr>1.NEWTON</vt:lpstr>
      <vt:lpstr>1.NEWTON evaluando en 0</vt:lpstr>
      <vt:lpstr>3.POTENCIAL</vt:lpstr>
      <vt:lpstr>3.EXP</vt:lpstr>
      <vt:lpstr>3.LINEAL</vt:lpstr>
      <vt:lpstr>1.LAGRANGE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</dc:creator>
  <cp:lastModifiedBy>ezemolina06@gmail.com</cp:lastModifiedBy>
  <dcterms:created xsi:type="dcterms:W3CDTF">2015-06-05T18:17:20Z</dcterms:created>
  <dcterms:modified xsi:type="dcterms:W3CDTF">2025-11-05T00:03:48Z</dcterms:modified>
</cp:coreProperties>
</file>