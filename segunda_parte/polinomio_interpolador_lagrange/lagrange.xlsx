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esktop\UP\Calculo numerico\Codigo\segunda_parte\"/>
    </mc:Choice>
  </mc:AlternateContent>
  <xr:revisionPtr revIDLastSave="0" documentId="13_ncr:1_{C1EAAE91-F91E-4E69-A94A-7A614627B969}" xr6:coauthVersionLast="47" xr6:coauthVersionMax="47" xr10:uidLastSave="{00000000-0000-0000-0000-000000000000}"/>
  <bookViews>
    <workbookView xWindow="-108" yWindow="-108" windowWidth="23256" windowHeight="13896" activeTab="3" xr2:uid="{1BE30968-4EEA-4C33-B293-E63EA5865C2A}"/>
  </bookViews>
  <sheets>
    <sheet name="lagrange grado 2" sheetId="1" r:id="rId1"/>
    <sheet name="lagrange grado 3" sheetId="2" r:id="rId2"/>
    <sheet name="Interpolacion inversa" sheetId="3" r:id="rId3"/>
    <sheet name="simu_lagrange_grado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D18" i="4"/>
  <c r="C18" i="4"/>
  <c r="E16" i="4"/>
  <c r="D16" i="4"/>
  <c r="C16" i="4"/>
  <c r="H12" i="3"/>
  <c r="L6" i="3"/>
  <c r="I8" i="3"/>
  <c r="I9" i="3"/>
  <c r="I7" i="3"/>
  <c r="H9" i="3"/>
  <c r="H8" i="3"/>
  <c r="H7" i="3"/>
  <c r="G8" i="3"/>
  <c r="G9" i="3" s="1"/>
  <c r="I4" i="3"/>
  <c r="I3" i="3"/>
  <c r="C4" i="3"/>
  <c r="D4" i="3" s="1"/>
  <c r="C3" i="3"/>
  <c r="H9" i="2"/>
  <c r="E10" i="2"/>
  <c r="D10" i="2"/>
  <c r="C10" i="2"/>
  <c r="B10" i="2"/>
  <c r="H14" i="4" l="1"/>
  <c r="J4" i="3"/>
</calcChain>
</file>

<file path=xl/sharedStrings.xml><?xml version="1.0" encoding="utf-8"?>
<sst xmlns="http://schemas.openxmlformats.org/spreadsheetml/2006/main" count="44" uniqueCount="39">
  <si>
    <t>x</t>
  </si>
  <si>
    <t>y</t>
  </si>
  <si>
    <t>x0</t>
  </si>
  <si>
    <t>x1</t>
  </si>
  <si>
    <t>x2</t>
  </si>
  <si>
    <t>x=</t>
  </si>
  <si>
    <t>L20</t>
  </si>
  <si>
    <t>L21</t>
  </si>
  <si>
    <t>Nota: en L2n el xn se saltea en el numerador y se pone 2 veces en el denominador</t>
  </si>
  <si>
    <t>L21 = (x-x0 * x-x2) / (x1-x0 * x1 - x2)</t>
  </si>
  <si>
    <t>L22</t>
  </si>
  <si>
    <t>y0</t>
  </si>
  <si>
    <t>y1</t>
  </si>
  <si>
    <t>y2</t>
  </si>
  <si>
    <t>x3</t>
  </si>
  <si>
    <t>X</t>
  </si>
  <si>
    <t>Y</t>
  </si>
  <si>
    <t>L30</t>
  </si>
  <si>
    <t>L31</t>
  </si>
  <si>
    <t>L32</t>
  </si>
  <si>
    <t>L33</t>
  </si>
  <si>
    <t>y3</t>
  </si>
  <si>
    <t>p3(1,235)=</t>
  </si>
  <si>
    <t>f(x)</t>
  </si>
  <si>
    <t>f(x)=x^3 - 15x + 4</t>
  </si>
  <si>
    <t>x  nodo de interpolacion)</t>
  </si>
  <si>
    <t>Usando newton</t>
  </si>
  <si>
    <t>g(y)</t>
  </si>
  <si>
    <t>Estamos buscando el valor de x cuando y es 0</t>
  </si>
  <si>
    <t>y=</t>
  </si>
  <si>
    <t>P(0)=</t>
  </si>
  <si>
    <t>Chequeando el resultado:</t>
  </si>
  <si>
    <t>f(0,26792758)=</t>
  </si>
  <si>
    <t xml:space="preserve"> </t>
  </si>
  <si>
    <t>i</t>
  </si>
  <si>
    <t>Como x es 2,6 elijo 2,25 - 2,5 - 2,75</t>
  </si>
  <si>
    <t>p2(2,6)=</t>
  </si>
  <si>
    <t>Generalizacion=</t>
  </si>
  <si>
    <t>P2(X)=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</si>
</sst>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6ED9-1AAE-436A-9F3E-0F0B6603E49F}">
  <dimension ref="A1"/>
  <sheetViews>
    <sheetView topLeftCell="A3" workbookViewId="0">
      <selection activeCell="D15" sqref="D15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305D-7F6C-47E8-8E3C-5804C54BEF96}">
  <dimension ref="A1:H12"/>
  <sheetViews>
    <sheetView workbookViewId="0">
      <selection activeCell="G17" sqref="G17"/>
    </sheetView>
  </sheetViews>
  <sheetFormatPr baseColWidth="10" defaultRowHeight="14.4" x14ac:dyDescent="0.3"/>
  <cols>
    <col min="2" max="2" width="12.6640625" bestFit="1" customWidth="1"/>
  </cols>
  <sheetData>
    <row r="1" spans="1:8" x14ac:dyDescent="0.3">
      <c r="A1" s="3"/>
      <c r="B1" s="3" t="s">
        <v>15</v>
      </c>
      <c r="C1" s="3" t="s">
        <v>16</v>
      </c>
    </row>
    <row r="2" spans="1:8" x14ac:dyDescent="0.3">
      <c r="A2" s="3" t="s">
        <v>2</v>
      </c>
      <c r="B2" s="1">
        <v>1</v>
      </c>
      <c r="C2" s="1">
        <v>1.5569999999999999</v>
      </c>
    </row>
    <row r="3" spans="1:8" x14ac:dyDescent="0.3">
      <c r="A3" s="3" t="s">
        <v>3</v>
      </c>
      <c r="B3" s="1">
        <v>1.2</v>
      </c>
      <c r="C3" s="1">
        <v>2.5720000000000001</v>
      </c>
    </row>
    <row r="4" spans="1:8" x14ac:dyDescent="0.3">
      <c r="A4" s="3" t="s">
        <v>4</v>
      </c>
      <c r="B4" s="1">
        <v>1.25</v>
      </c>
      <c r="C4" s="1">
        <v>3.01</v>
      </c>
    </row>
    <row r="5" spans="1:8" x14ac:dyDescent="0.3">
      <c r="A5" s="3" t="s">
        <v>14</v>
      </c>
      <c r="B5" s="1">
        <v>1.5</v>
      </c>
      <c r="C5" s="1">
        <v>14.101000000000001</v>
      </c>
    </row>
    <row r="7" spans="1:8" x14ac:dyDescent="0.3">
      <c r="A7" t="s">
        <v>5</v>
      </c>
      <c r="B7">
        <v>1.2350000000000001</v>
      </c>
    </row>
    <row r="9" spans="1:8" x14ac:dyDescent="0.3">
      <c r="B9" s="3" t="s">
        <v>17</v>
      </c>
      <c r="C9" s="3" t="s">
        <v>18</v>
      </c>
      <c r="D9" s="3" t="s">
        <v>19</v>
      </c>
      <c r="E9" s="3" t="s">
        <v>20</v>
      </c>
      <c r="G9" s="4" t="s">
        <v>22</v>
      </c>
      <c r="H9">
        <f>SUMPRODUCT(B10:E10,B12:E12)</f>
        <v>2.8452143050000007</v>
      </c>
    </row>
    <row r="10" spans="1:8" x14ac:dyDescent="0.3">
      <c r="B10" s="1">
        <f>PRODUCT(B7-B3,B7-B4,B7-B5)/PRODUCT(B2-B3,B2-B4,B2-B5)</f>
        <v>-5.5649999999999849E-3</v>
      </c>
      <c r="C10" s="1">
        <f>PRODUCT(B7-B2,B7-B4,B7-B5)/PRODUCT(B3-B2,B3-B4,B3-B5)</f>
        <v>0.31137499999999774</v>
      </c>
      <c r="D10" s="1">
        <f>PRODUCT(B7-B2,B7-B3,B7-B5)/PRODUCT(B4-B2,B4-B3,B4-B5)</f>
        <v>0.69748000000000221</v>
      </c>
      <c r="E10" s="1">
        <f>PRODUCT(B7-B2,B7-B3,B7-B4)/PRODUCT(B5-B2,B5-B3,B5-B4)</f>
        <v>-3.2899999999999926E-3</v>
      </c>
    </row>
    <row r="11" spans="1:8" x14ac:dyDescent="0.3">
      <c r="B11" s="3" t="s">
        <v>11</v>
      </c>
      <c r="C11" s="3" t="s">
        <v>12</v>
      </c>
      <c r="D11" s="3" t="s">
        <v>13</v>
      </c>
      <c r="E11" s="3" t="s">
        <v>21</v>
      </c>
    </row>
    <row r="12" spans="1:8" x14ac:dyDescent="0.3">
      <c r="B12" s="1">
        <v>1.5569999999999999</v>
      </c>
      <c r="C12" s="1">
        <v>2.5720000000000001</v>
      </c>
      <c r="D12" s="1">
        <v>3.01</v>
      </c>
      <c r="E12" s="1">
        <v>14.101000000000001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E392-2F8A-49D9-93AF-044C7726CF58}">
  <dimension ref="A1:M12"/>
  <sheetViews>
    <sheetView workbookViewId="0">
      <selection activeCell="D22" sqref="D22"/>
    </sheetView>
  </sheetViews>
  <sheetFormatPr baseColWidth="10" defaultRowHeight="14.4" x14ac:dyDescent="0.3"/>
  <cols>
    <col min="7" max="7" width="13.77734375" customWidth="1"/>
  </cols>
  <sheetData>
    <row r="1" spans="1:13" x14ac:dyDescent="0.3">
      <c r="A1" s="1" t="s">
        <v>25</v>
      </c>
      <c r="B1" s="1" t="s">
        <v>23</v>
      </c>
      <c r="C1" t="s">
        <v>26</v>
      </c>
      <c r="G1" t="s">
        <v>1</v>
      </c>
      <c r="H1" t="s">
        <v>27</v>
      </c>
      <c r="M1" t="s">
        <v>24</v>
      </c>
    </row>
    <row r="2" spans="1:13" x14ac:dyDescent="0.3">
      <c r="A2" s="1">
        <v>0.2</v>
      </c>
      <c r="B2" s="1">
        <v>1.008</v>
      </c>
      <c r="G2" s="1">
        <v>1.008</v>
      </c>
      <c r="H2" s="6">
        <v>0.2</v>
      </c>
      <c r="M2" t="s">
        <v>28</v>
      </c>
    </row>
    <row r="3" spans="1:13" x14ac:dyDescent="0.3">
      <c r="A3" s="1">
        <v>0.3</v>
      </c>
      <c r="B3" s="1">
        <v>-0.47299999999999998</v>
      </c>
      <c r="C3" s="1">
        <f>(B3-B2)/(A3-A2)</f>
        <v>-14.810000000000002</v>
      </c>
      <c r="G3" s="1">
        <v>-0.47299999999999998</v>
      </c>
      <c r="H3" s="1">
        <v>0.3</v>
      </c>
      <c r="I3" s="6">
        <f>(H3-H2)/(G3-G2)</f>
        <v>-6.7521944632005393E-2</v>
      </c>
    </row>
    <row r="4" spans="1:13" x14ac:dyDescent="0.3">
      <c r="A4" s="1">
        <v>0.4</v>
      </c>
      <c r="B4" s="1">
        <v>-1.9359999999999999</v>
      </c>
      <c r="C4" s="1">
        <f>(B4-B3)/(A4-A3)</f>
        <v>-14.629999999999995</v>
      </c>
      <c r="D4" s="1">
        <f>(C4-C3)/(A4-A2)</f>
        <v>0.90000000000003411</v>
      </c>
      <c r="G4" s="1">
        <v>-1.9359999999999999</v>
      </c>
      <c r="H4" s="1">
        <v>0.4</v>
      </c>
      <c r="I4" s="1">
        <f>(H4-H3)/(G4-G3)</f>
        <v>-6.8352699931647318E-2</v>
      </c>
      <c r="J4" s="6">
        <f>(I4-I3)/(G4-G2)</f>
        <v>2.8218590341097993E-4</v>
      </c>
    </row>
    <row r="6" spans="1:13" x14ac:dyDescent="0.3">
      <c r="A6" t="s">
        <v>33</v>
      </c>
      <c r="F6" t="s">
        <v>29</v>
      </c>
      <c r="G6">
        <v>0</v>
      </c>
      <c r="K6" s="7" t="s">
        <v>30</v>
      </c>
      <c r="L6" s="7">
        <f>SUM(I7:I9)</f>
        <v>0.26792757846528953</v>
      </c>
    </row>
    <row r="7" spans="1:13" x14ac:dyDescent="0.3">
      <c r="G7">
        <v>1</v>
      </c>
      <c r="H7">
        <f>H2</f>
        <v>0.2</v>
      </c>
      <c r="I7">
        <f>H7*G7</f>
        <v>0.2</v>
      </c>
    </row>
    <row r="8" spans="1:13" x14ac:dyDescent="0.3">
      <c r="G8">
        <f>(G6-G2)</f>
        <v>-1.008</v>
      </c>
      <c r="H8">
        <f>I3</f>
        <v>-6.7521944632005393E-2</v>
      </c>
      <c r="I8">
        <f t="shared" ref="I8:I9" si="0">H8*G8</f>
        <v>6.8062120189061437E-2</v>
      </c>
    </row>
    <row r="9" spans="1:13" x14ac:dyDescent="0.3">
      <c r="G9">
        <f>G8*(G6-G3)</f>
        <v>-0.47678399999999999</v>
      </c>
      <c r="H9">
        <f>J4</f>
        <v>2.8218590341097993E-4</v>
      </c>
      <c r="I9">
        <f t="shared" si="0"/>
        <v>-1.3454172377190066E-4</v>
      </c>
    </row>
    <row r="11" spans="1:13" x14ac:dyDescent="0.3">
      <c r="G11" t="s">
        <v>31</v>
      </c>
    </row>
    <row r="12" spans="1:13" x14ac:dyDescent="0.3">
      <c r="G12" t="s">
        <v>32</v>
      </c>
      <c r="H12">
        <f>L6^3-(15*L6)+4</f>
        <v>3.1955442423248215E-4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93E4-AFAD-4CD3-801D-58BDF3B33759}">
  <dimension ref="A1:H22"/>
  <sheetViews>
    <sheetView tabSelected="1" workbookViewId="0">
      <selection activeCell="M12" sqref="M12"/>
    </sheetView>
  </sheetViews>
  <sheetFormatPr baseColWidth="10" defaultRowHeight="14.4" x14ac:dyDescent="0.3"/>
  <sheetData>
    <row r="1" spans="1:8" x14ac:dyDescent="0.3">
      <c r="A1" s="1" t="s">
        <v>34</v>
      </c>
      <c r="B1" s="1" t="s">
        <v>0</v>
      </c>
      <c r="C1" s="1" t="s">
        <v>1</v>
      </c>
      <c r="G1" t="s">
        <v>8</v>
      </c>
    </row>
    <row r="2" spans="1:8" x14ac:dyDescent="0.3">
      <c r="A2" s="1">
        <v>1</v>
      </c>
      <c r="B2" s="2">
        <v>1</v>
      </c>
      <c r="C2" s="1">
        <v>1</v>
      </c>
      <c r="G2" t="s">
        <v>9</v>
      </c>
    </row>
    <row r="3" spans="1:8" x14ac:dyDescent="0.3">
      <c r="A3" s="1">
        <v>2</v>
      </c>
      <c r="B3" s="1">
        <v>1.25</v>
      </c>
      <c r="C3" s="1">
        <v>4.0711000000000004</v>
      </c>
    </row>
    <row r="4" spans="1:8" x14ac:dyDescent="0.3">
      <c r="A4" s="1">
        <v>3</v>
      </c>
      <c r="B4" s="1">
        <v>1.5</v>
      </c>
      <c r="C4" s="1">
        <v>9</v>
      </c>
    </row>
    <row r="5" spans="1:8" x14ac:dyDescent="0.3">
      <c r="A5" s="1">
        <v>4</v>
      </c>
      <c r="B5" s="5">
        <v>1.75</v>
      </c>
      <c r="C5" s="1">
        <v>16.798999999999999</v>
      </c>
    </row>
    <row r="6" spans="1:8" x14ac:dyDescent="0.3">
      <c r="A6" s="1">
        <v>5</v>
      </c>
      <c r="B6" s="5">
        <v>2</v>
      </c>
      <c r="C6" s="1">
        <v>29</v>
      </c>
    </row>
    <row r="7" spans="1:8" x14ac:dyDescent="0.3">
      <c r="A7" s="3">
        <v>6</v>
      </c>
      <c r="B7" s="3">
        <v>2.25</v>
      </c>
      <c r="C7" s="3">
        <v>47.911700000000003</v>
      </c>
    </row>
    <row r="8" spans="1:8" x14ac:dyDescent="0.3">
      <c r="A8" s="3">
        <v>7</v>
      </c>
      <c r="B8" s="3">
        <v>2.5</v>
      </c>
      <c r="C8" s="3">
        <v>77</v>
      </c>
    </row>
    <row r="9" spans="1:8" x14ac:dyDescent="0.3">
      <c r="A9" s="3">
        <v>8</v>
      </c>
      <c r="B9" s="3">
        <v>2.75</v>
      </c>
      <c r="C9" s="3">
        <v>121.4508</v>
      </c>
    </row>
    <row r="10" spans="1:8" x14ac:dyDescent="0.3">
      <c r="A10" s="1">
        <v>9</v>
      </c>
      <c r="B10" s="5">
        <v>3</v>
      </c>
      <c r="C10" s="1">
        <v>189</v>
      </c>
    </row>
    <row r="13" spans="1:8" x14ac:dyDescent="0.3">
      <c r="B13" t="s">
        <v>5</v>
      </c>
      <c r="C13">
        <v>2.6</v>
      </c>
    </row>
    <row r="14" spans="1:8" x14ac:dyDescent="0.3">
      <c r="B14" t="s">
        <v>35</v>
      </c>
      <c r="G14" t="s">
        <v>36</v>
      </c>
      <c r="H14">
        <f>SUMPRODUCT(C16:E16,C18:E18)</f>
        <v>92.936820000000012</v>
      </c>
    </row>
    <row r="15" spans="1:8" x14ac:dyDescent="0.3">
      <c r="C15" s="3" t="s">
        <v>6</v>
      </c>
      <c r="D15" s="3" t="s">
        <v>7</v>
      </c>
      <c r="E15" s="3" t="s">
        <v>10</v>
      </c>
    </row>
    <row r="16" spans="1:8" x14ac:dyDescent="0.3">
      <c r="C16" s="1">
        <f>PRODUCT(C13-B8,C13-B9)/PRODUCT(B7-B8,B7-B9)</f>
        <v>-0.12000000000000004</v>
      </c>
      <c r="D16">
        <f>PRODUCT(C13-B7,C13-B9)/PRODUCT(B8-B7,B8-B9)</f>
        <v>0.83999999999999975</v>
      </c>
      <c r="E16" s="1">
        <f>PRODUCT(C13-B7,C13-B8)/PRODUCT(B9-B7,B9-B8)</f>
        <v>0.2800000000000003</v>
      </c>
    </row>
    <row r="17" spans="2:5" x14ac:dyDescent="0.3">
      <c r="C17" s="3" t="s">
        <v>11</v>
      </c>
      <c r="D17" s="3" t="s">
        <v>12</v>
      </c>
      <c r="E17" s="3" t="s">
        <v>13</v>
      </c>
    </row>
    <row r="18" spans="2:5" x14ac:dyDescent="0.3">
      <c r="C18" s="1">
        <f>C7</f>
        <v>47.911700000000003</v>
      </c>
      <c r="D18" s="1">
        <f>C8</f>
        <v>77</v>
      </c>
      <c r="E18" s="1">
        <f>C9</f>
        <v>121.4508</v>
      </c>
    </row>
    <row r="21" spans="2:5" x14ac:dyDescent="0.3">
      <c r="B21" t="s">
        <v>37</v>
      </c>
    </row>
    <row r="22" spans="2:5" x14ac:dyDescent="0.3">
      <c r="B22" t="s">
        <v>38</v>
      </c>
      <c r="C22">
        <v>47.911700000000003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lagrange grado 2</vt:lpstr>
      <vt:lpstr>lagrange grado 3</vt:lpstr>
      <vt:lpstr>Interpolacion inversa</vt:lpstr>
      <vt:lpstr>simu_lagrange_grado2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2025-11-02T13:04:16Z</dcterms:created>
  <dcterms:modified xsi:type="dcterms:W3CDTF">2025-11-06T18:59:51Z</dcterms:modified>
</cp:coreProperties>
</file>